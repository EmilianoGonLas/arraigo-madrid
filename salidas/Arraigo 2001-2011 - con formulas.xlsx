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ción" sheetId="1" state="visible" r:id="rId1"/>
    <sheet xmlns:r="http://schemas.openxmlformats.org/officeDocument/2006/relationships" name="Pesos" sheetId="2" state="visible" r:id="rId2"/>
    <sheet xmlns:r="http://schemas.openxmlformats.org/officeDocument/2006/relationships" name="2011" sheetId="3" state="visible" r:id="rId3"/>
    <sheet xmlns:r="http://schemas.openxmlformats.org/officeDocument/2006/relationships" name="2001" sheetId="4" state="visible" r:id="rId4"/>
    <sheet xmlns:r="http://schemas.openxmlformats.org/officeDocument/2006/relationships" name="Método" sheetId="5" state="visible" r:id="rId5"/>
  </sheets>
  <definedNames/>
  <calcPr calcId="124519" fullCalcOnLoad="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b val="1"/>
    </font>
    <font>
      <i val="1"/>
      <color rgb="006B7280"/>
    </font>
    <font>
      <b val="1"/>
      <color rgb="00B45309"/>
    </font>
  </fonts>
  <fills count="4">
    <fill>
      <patternFill/>
    </fill>
    <fill>
      <patternFill patternType="gray125"/>
    </fill>
    <fill>
      <patternFill patternType="solid">
        <fgColor rgb="00E5E7EB"/>
      </patternFill>
    </fill>
    <fill>
      <patternFill patternType="solid">
        <fgColor rgb="00FEF3C7"/>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wrapText="1"/>
    </xf>
    <xf numFmtId="0" fontId="1" fillId="0" borderId="0" pivotButton="0" quotePrefix="0" xfId="0"/>
    <xf numFmtId="164" fontId="0" fillId="0" borderId="0" pivotButton="0" quotePrefix="0" xfId="0"/>
    <xf numFmtId="164" fontId="1" fillId="0" borderId="0" pivotButton="0" quotePrefix="0" xfId="0"/>
    <xf numFmtId="2" fontId="1" fillId="0" borderId="0" pivotButton="0" quotePrefix="0" xfId="0"/>
    <xf numFmtId="0" fontId="2" fillId="0" borderId="0" pivotButton="0" quotePrefix="0" xfId="0"/>
    <xf numFmtId="0" fontId="3" fillId="3"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VUPACI</t>
        </is>
      </c>
      <c r="B1" s="1" t="inlineStr">
        <is>
          <t>población 2001</t>
        </is>
      </c>
      <c r="C1" s="1" t="inlineStr">
        <is>
          <t>población 2011</t>
        </is>
      </c>
      <c r="D1" s="1" t="inlineStr">
        <is>
          <t>índice 2001</t>
        </is>
      </c>
      <c r="E1" s="1" t="inlineStr">
        <is>
          <t>índice 2011</t>
        </is>
      </c>
      <c r="F1" s="1" t="inlineStr">
        <is>
          <t>variación índice</t>
        </is>
      </c>
      <c r="G1" s="1" t="inlineStr">
        <is>
          <t>variación población</t>
        </is>
      </c>
    </row>
    <row r="2">
      <c r="A2" s="2" t="n">
        <v>0</v>
      </c>
      <c r="B2">
        <f>IFERROR(INDEX('2001'!$O$2:$O$489,MATCH($A2,'2001'!$A$2:$A$489,0)),"")</f>
        <v/>
      </c>
      <c r="C2">
        <f>IFERROR(INDEX('2011'!$N$2:$N$490,MATCH($A2,'2011'!$A$2:$A$490,0)),"")</f>
        <v/>
      </c>
      <c r="D2" s="3">
        <f>IFERROR(INDEX('2001'!$Y$2:$Y$489,MATCH($A2,'2001'!$A$2:$A$489,0)),"")</f>
        <v/>
      </c>
      <c r="E2" s="3">
        <f>IFERROR(INDEX('2011'!$X$2:$X$490,MATCH($A2,'2011'!$A$2:$A$490,0)),"")</f>
        <v/>
      </c>
      <c r="F2" s="4">
        <f>IF(OR($D2="",$E2=""),"",$E2-$D2)</f>
        <v/>
      </c>
      <c r="G2">
        <f>IF(OR($B2="",$C2=""),"",$C2-$B2)</f>
        <v/>
      </c>
    </row>
    <row r="3">
      <c r="A3" s="2" t="n">
        <v>1</v>
      </c>
      <c r="B3">
        <f>IFERROR(INDEX('2001'!$O$2:$O$489,MATCH($A3,'2001'!$A$2:$A$489,0)),"")</f>
        <v/>
      </c>
      <c r="C3">
        <f>IFERROR(INDEX('2011'!$N$2:$N$490,MATCH($A3,'2011'!$A$2:$A$490,0)),"")</f>
        <v/>
      </c>
      <c r="D3" s="3">
        <f>IFERROR(INDEX('2001'!$Y$2:$Y$489,MATCH($A3,'2001'!$A$2:$A$489,0)),"")</f>
        <v/>
      </c>
      <c r="E3" s="3">
        <f>IFERROR(INDEX('2011'!$X$2:$X$490,MATCH($A3,'2011'!$A$2:$A$490,0)),"")</f>
        <v/>
      </c>
      <c r="F3" s="4">
        <f>IF(OR($D3="",$E3=""),"",$E3-$D3)</f>
        <v/>
      </c>
      <c r="G3">
        <f>IF(OR($B3="",$C3=""),"",$C3-$B3)</f>
        <v/>
      </c>
    </row>
    <row r="4">
      <c r="A4" s="2" t="n">
        <v>2</v>
      </c>
      <c r="B4">
        <f>IFERROR(INDEX('2001'!$O$2:$O$489,MATCH($A4,'2001'!$A$2:$A$489,0)),"")</f>
        <v/>
      </c>
      <c r="C4">
        <f>IFERROR(INDEX('2011'!$N$2:$N$490,MATCH($A4,'2011'!$A$2:$A$490,0)),"")</f>
        <v/>
      </c>
      <c r="D4" s="3">
        <f>IFERROR(INDEX('2001'!$Y$2:$Y$489,MATCH($A4,'2001'!$A$2:$A$489,0)),"")</f>
        <v/>
      </c>
      <c r="E4" s="3">
        <f>IFERROR(INDEX('2011'!$X$2:$X$490,MATCH($A4,'2011'!$A$2:$A$490,0)),"")</f>
        <v/>
      </c>
      <c r="F4" s="4">
        <f>IF(OR($D4="",$E4=""),"",$E4-$D4)</f>
        <v/>
      </c>
      <c r="G4">
        <f>IF(OR($B4="",$C4=""),"",$C4-$B4)</f>
        <v/>
      </c>
    </row>
    <row r="5">
      <c r="A5" s="2" t="n">
        <v>3</v>
      </c>
      <c r="B5">
        <f>IFERROR(INDEX('2001'!$O$2:$O$489,MATCH($A5,'2001'!$A$2:$A$489,0)),"")</f>
        <v/>
      </c>
      <c r="C5">
        <f>IFERROR(INDEX('2011'!$N$2:$N$490,MATCH($A5,'2011'!$A$2:$A$490,0)),"")</f>
        <v/>
      </c>
      <c r="D5" s="3">
        <f>IFERROR(INDEX('2001'!$Y$2:$Y$489,MATCH($A5,'2001'!$A$2:$A$489,0)),"")</f>
        <v/>
      </c>
      <c r="E5" s="3">
        <f>IFERROR(INDEX('2011'!$X$2:$X$490,MATCH($A5,'2011'!$A$2:$A$490,0)),"")</f>
        <v/>
      </c>
      <c r="F5" s="4">
        <f>IF(OR($D5="",$E5=""),"",$E5-$D5)</f>
        <v/>
      </c>
      <c r="G5">
        <f>IF(OR($B5="",$C5=""),"",$C5-$B5)</f>
        <v/>
      </c>
    </row>
    <row r="6">
      <c r="A6" s="2" t="n">
        <v>4</v>
      </c>
      <c r="B6">
        <f>IFERROR(INDEX('2001'!$O$2:$O$489,MATCH($A6,'2001'!$A$2:$A$489,0)),"")</f>
        <v/>
      </c>
      <c r="C6">
        <f>IFERROR(INDEX('2011'!$N$2:$N$490,MATCH($A6,'2011'!$A$2:$A$490,0)),"")</f>
        <v/>
      </c>
      <c r="D6" s="3">
        <f>IFERROR(INDEX('2001'!$Y$2:$Y$489,MATCH($A6,'2001'!$A$2:$A$489,0)),"")</f>
        <v/>
      </c>
      <c r="E6" s="3">
        <f>IFERROR(INDEX('2011'!$X$2:$X$490,MATCH($A6,'2011'!$A$2:$A$490,0)),"")</f>
        <v/>
      </c>
      <c r="F6" s="4">
        <f>IF(OR($D6="",$E6=""),"",$E6-$D6)</f>
        <v/>
      </c>
      <c r="G6">
        <f>IF(OR($B6="",$C6=""),"",$C6-$B6)</f>
        <v/>
      </c>
    </row>
    <row r="7">
      <c r="A7" s="2" t="n">
        <v>5</v>
      </c>
      <c r="B7">
        <f>IFERROR(INDEX('2001'!$O$2:$O$489,MATCH($A7,'2001'!$A$2:$A$489,0)),"")</f>
        <v/>
      </c>
      <c r="C7">
        <f>IFERROR(INDEX('2011'!$N$2:$N$490,MATCH($A7,'2011'!$A$2:$A$490,0)),"")</f>
        <v/>
      </c>
      <c r="D7" s="3">
        <f>IFERROR(INDEX('2001'!$Y$2:$Y$489,MATCH($A7,'2001'!$A$2:$A$489,0)),"")</f>
        <v/>
      </c>
      <c r="E7" s="3">
        <f>IFERROR(INDEX('2011'!$X$2:$X$490,MATCH($A7,'2011'!$A$2:$A$490,0)),"")</f>
        <v/>
      </c>
      <c r="F7" s="4">
        <f>IF(OR($D7="",$E7=""),"",$E7-$D7)</f>
        <v/>
      </c>
      <c r="G7">
        <f>IF(OR($B7="",$C7=""),"",$C7-$B7)</f>
        <v/>
      </c>
    </row>
    <row r="8">
      <c r="A8" s="2" t="n">
        <v>6</v>
      </c>
      <c r="B8">
        <f>IFERROR(INDEX('2001'!$O$2:$O$489,MATCH($A8,'2001'!$A$2:$A$489,0)),"")</f>
        <v/>
      </c>
      <c r="C8">
        <f>IFERROR(INDEX('2011'!$N$2:$N$490,MATCH($A8,'2011'!$A$2:$A$490,0)),"")</f>
        <v/>
      </c>
      <c r="D8" s="3">
        <f>IFERROR(INDEX('2001'!$Y$2:$Y$489,MATCH($A8,'2001'!$A$2:$A$489,0)),"")</f>
        <v/>
      </c>
      <c r="E8" s="3">
        <f>IFERROR(INDEX('2011'!$X$2:$X$490,MATCH($A8,'2011'!$A$2:$A$490,0)),"")</f>
        <v/>
      </c>
      <c r="F8" s="4">
        <f>IF(OR($D8="",$E8=""),"",$E8-$D8)</f>
        <v/>
      </c>
      <c r="G8">
        <f>IF(OR($B8="",$C8=""),"",$C8-$B8)</f>
        <v/>
      </c>
    </row>
    <row r="9">
      <c r="A9" s="2" t="n">
        <v>7</v>
      </c>
      <c r="B9">
        <f>IFERROR(INDEX('2001'!$O$2:$O$489,MATCH($A9,'2001'!$A$2:$A$489,0)),"")</f>
        <v/>
      </c>
      <c r="C9">
        <f>IFERROR(INDEX('2011'!$N$2:$N$490,MATCH($A9,'2011'!$A$2:$A$490,0)),"")</f>
        <v/>
      </c>
      <c r="D9" s="3">
        <f>IFERROR(INDEX('2001'!$Y$2:$Y$489,MATCH($A9,'2001'!$A$2:$A$489,0)),"")</f>
        <v/>
      </c>
      <c r="E9" s="3">
        <f>IFERROR(INDEX('2011'!$X$2:$X$490,MATCH($A9,'2011'!$A$2:$A$490,0)),"")</f>
        <v/>
      </c>
      <c r="F9" s="4">
        <f>IF(OR($D9="",$E9=""),"",$E9-$D9)</f>
        <v/>
      </c>
      <c r="G9">
        <f>IF(OR($B9="",$C9=""),"",$C9-$B9)</f>
        <v/>
      </c>
    </row>
    <row r="10">
      <c r="A10" s="2" t="n">
        <v>8</v>
      </c>
      <c r="B10">
        <f>IFERROR(INDEX('2001'!$O$2:$O$489,MATCH($A10,'2001'!$A$2:$A$489,0)),"")</f>
        <v/>
      </c>
      <c r="C10">
        <f>IFERROR(INDEX('2011'!$N$2:$N$490,MATCH($A10,'2011'!$A$2:$A$490,0)),"")</f>
        <v/>
      </c>
      <c r="D10" s="3">
        <f>IFERROR(INDEX('2001'!$Y$2:$Y$489,MATCH($A10,'2001'!$A$2:$A$489,0)),"")</f>
        <v/>
      </c>
      <c r="E10" s="3">
        <f>IFERROR(INDEX('2011'!$X$2:$X$490,MATCH($A10,'2011'!$A$2:$A$490,0)),"")</f>
        <v/>
      </c>
      <c r="F10" s="4">
        <f>IF(OR($D10="",$E10=""),"",$E10-$D10)</f>
        <v/>
      </c>
      <c r="G10">
        <f>IF(OR($B10="",$C10=""),"",$C10-$B10)</f>
        <v/>
      </c>
    </row>
    <row r="11">
      <c r="A11" s="2" t="n">
        <v>9</v>
      </c>
      <c r="B11">
        <f>IFERROR(INDEX('2001'!$O$2:$O$489,MATCH($A11,'2001'!$A$2:$A$489,0)),"")</f>
        <v/>
      </c>
      <c r="C11">
        <f>IFERROR(INDEX('2011'!$N$2:$N$490,MATCH($A11,'2011'!$A$2:$A$490,0)),"")</f>
        <v/>
      </c>
      <c r="D11" s="3">
        <f>IFERROR(INDEX('2001'!$Y$2:$Y$489,MATCH($A11,'2001'!$A$2:$A$489,0)),"")</f>
        <v/>
      </c>
      <c r="E11" s="3">
        <f>IFERROR(INDEX('2011'!$X$2:$X$490,MATCH($A11,'2011'!$A$2:$A$490,0)),"")</f>
        <v/>
      </c>
      <c r="F11" s="4">
        <f>IF(OR($D11="",$E11=""),"",$E11-$D11)</f>
        <v/>
      </c>
      <c r="G11">
        <f>IF(OR($B11="",$C11=""),"",$C11-$B11)</f>
        <v/>
      </c>
    </row>
    <row r="12">
      <c r="A12" s="2" t="n">
        <v>10</v>
      </c>
      <c r="B12">
        <f>IFERROR(INDEX('2001'!$O$2:$O$489,MATCH($A12,'2001'!$A$2:$A$489,0)),"")</f>
        <v/>
      </c>
      <c r="C12">
        <f>IFERROR(INDEX('2011'!$N$2:$N$490,MATCH($A12,'2011'!$A$2:$A$490,0)),"")</f>
        <v/>
      </c>
      <c r="D12" s="3">
        <f>IFERROR(INDEX('2001'!$Y$2:$Y$489,MATCH($A12,'2001'!$A$2:$A$489,0)),"")</f>
        <v/>
      </c>
      <c r="E12" s="3">
        <f>IFERROR(INDEX('2011'!$X$2:$X$490,MATCH($A12,'2011'!$A$2:$A$490,0)),"")</f>
        <v/>
      </c>
      <c r="F12" s="4">
        <f>IF(OR($D12="",$E12=""),"",$E12-$D12)</f>
        <v/>
      </c>
      <c r="G12">
        <f>IF(OR($B12="",$C12=""),"",$C12-$B12)</f>
        <v/>
      </c>
    </row>
    <row r="13">
      <c r="A13" s="2" t="n">
        <v>11</v>
      </c>
      <c r="B13">
        <f>IFERROR(INDEX('2001'!$O$2:$O$489,MATCH($A13,'2001'!$A$2:$A$489,0)),"")</f>
        <v/>
      </c>
      <c r="C13">
        <f>IFERROR(INDEX('2011'!$N$2:$N$490,MATCH($A13,'2011'!$A$2:$A$490,0)),"")</f>
        <v/>
      </c>
      <c r="D13" s="3">
        <f>IFERROR(INDEX('2001'!$Y$2:$Y$489,MATCH($A13,'2001'!$A$2:$A$489,0)),"")</f>
        <v/>
      </c>
      <c r="E13" s="3">
        <f>IFERROR(INDEX('2011'!$X$2:$X$490,MATCH($A13,'2011'!$A$2:$A$490,0)),"")</f>
        <v/>
      </c>
      <c r="F13" s="4">
        <f>IF(OR($D13="",$E13=""),"",$E13-$D13)</f>
        <v/>
      </c>
      <c r="G13">
        <f>IF(OR($B13="",$C13=""),"",$C13-$B13)</f>
        <v/>
      </c>
    </row>
    <row r="14">
      <c r="A14" s="2" t="n">
        <v>12</v>
      </c>
      <c r="B14">
        <f>IFERROR(INDEX('2001'!$O$2:$O$489,MATCH($A14,'2001'!$A$2:$A$489,0)),"")</f>
        <v/>
      </c>
      <c r="C14">
        <f>IFERROR(INDEX('2011'!$N$2:$N$490,MATCH($A14,'2011'!$A$2:$A$490,0)),"")</f>
        <v/>
      </c>
      <c r="D14" s="3">
        <f>IFERROR(INDEX('2001'!$Y$2:$Y$489,MATCH($A14,'2001'!$A$2:$A$489,0)),"")</f>
        <v/>
      </c>
      <c r="E14" s="3">
        <f>IFERROR(INDEX('2011'!$X$2:$X$490,MATCH($A14,'2011'!$A$2:$A$490,0)),"")</f>
        <v/>
      </c>
      <c r="F14" s="4">
        <f>IF(OR($D14="",$E14=""),"",$E14-$D14)</f>
        <v/>
      </c>
      <c r="G14">
        <f>IF(OR($B14="",$C14=""),"",$C14-$B14)</f>
        <v/>
      </c>
    </row>
    <row r="15">
      <c r="A15" s="2" t="n">
        <v>13</v>
      </c>
      <c r="B15">
        <f>IFERROR(INDEX('2001'!$O$2:$O$489,MATCH($A15,'2001'!$A$2:$A$489,0)),"")</f>
        <v/>
      </c>
      <c r="C15">
        <f>IFERROR(INDEX('2011'!$N$2:$N$490,MATCH($A15,'2011'!$A$2:$A$490,0)),"")</f>
        <v/>
      </c>
      <c r="D15" s="3">
        <f>IFERROR(INDEX('2001'!$Y$2:$Y$489,MATCH($A15,'2001'!$A$2:$A$489,0)),"")</f>
        <v/>
      </c>
      <c r="E15" s="3">
        <f>IFERROR(INDEX('2011'!$X$2:$X$490,MATCH($A15,'2011'!$A$2:$A$490,0)),"")</f>
        <v/>
      </c>
      <c r="F15" s="4">
        <f>IF(OR($D15="",$E15=""),"",$E15-$D15)</f>
        <v/>
      </c>
      <c r="G15">
        <f>IF(OR($B15="",$C15=""),"",$C15-$B15)</f>
        <v/>
      </c>
    </row>
    <row r="16">
      <c r="A16" s="2" t="n">
        <v>14</v>
      </c>
      <c r="B16">
        <f>IFERROR(INDEX('2001'!$O$2:$O$489,MATCH($A16,'2001'!$A$2:$A$489,0)),"")</f>
        <v/>
      </c>
      <c r="C16">
        <f>IFERROR(INDEX('2011'!$N$2:$N$490,MATCH($A16,'2011'!$A$2:$A$490,0)),"")</f>
        <v/>
      </c>
      <c r="D16" s="3">
        <f>IFERROR(INDEX('2001'!$Y$2:$Y$489,MATCH($A16,'2001'!$A$2:$A$489,0)),"")</f>
        <v/>
      </c>
      <c r="E16" s="3">
        <f>IFERROR(INDEX('2011'!$X$2:$X$490,MATCH($A16,'2011'!$A$2:$A$490,0)),"")</f>
        <v/>
      </c>
      <c r="F16" s="4">
        <f>IF(OR($D16="",$E16=""),"",$E16-$D16)</f>
        <v/>
      </c>
      <c r="G16">
        <f>IF(OR($B16="",$C16=""),"",$C16-$B16)</f>
        <v/>
      </c>
    </row>
    <row r="17">
      <c r="A17" s="2" t="n">
        <v>15</v>
      </c>
      <c r="B17">
        <f>IFERROR(INDEX('2001'!$O$2:$O$489,MATCH($A17,'2001'!$A$2:$A$489,0)),"")</f>
        <v/>
      </c>
      <c r="C17">
        <f>IFERROR(INDEX('2011'!$N$2:$N$490,MATCH($A17,'2011'!$A$2:$A$490,0)),"")</f>
        <v/>
      </c>
      <c r="D17" s="3">
        <f>IFERROR(INDEX('2001'!$Y$2:$Y$489,MATCH($A17,'2001'!$A$2:$A$489,0)),"")</f>
        <v/>
      </c>
      <c r="E17" s="3">
        <f>IFERROR(INDEX('2011'!$X$2:$X$490,MATCH($A17,'2011'!$A$2:$A$490,0)),"")</f>
        <v/>
      </c>
      <c r="F17" s="4">
        <f>IF(OR($D17="",$E17=""),"",$E17-$D17)</f>
        <v/>
      </c>
      <c r="G17">
        <f>IF(OR($B17="",$C17=""),"",$C17-$B17)</f>
        <v/>
      </c>
    </row>
    <row r="18">
      <c r="A18" s="2" t="n">
        <v>16</v>
      </c>
      <c r="B18">
        <f>IFERROR(INDEX('2001'!$O$2:$O$489,MATCH($A18,'2001'!$A$2:$A$489,0)),"")</f>
        <v/>
      </c>
      <c r="C18">
        <f>IFERROR(INDEX('2011'!$N$2:$N$490,MATCH($A18,'2011'!$A$2:$A$490,0)),"")</f>
        <v/>
      </c>
      <c r="D18" s="3">
        <f>IFERROR(INDEX('2001'!$Y$2:$Y$489,MATCH($A18,'2001'!$A$2:$A$489,0)),"")</f>
        <v/>
      </c>
      <c r="E18" s="3">
        <f>IFERROR(INDEX('2011'!$X$2:$X$490,MATCH($A18,'2011'!$A$2:$A$490,0)),"")</f>
        <v/>
      </c>
      <c r="F18" s="4">
        <f>IF(OR($D18="",$E18=""),"",$E18-$D18)</f>
        <v/>
      </c>
      <c r="G18">
        <f>IF(OR($B18="",$C18=""),"",$C18-$B18)</f>
        <v/>
      </c>
    </row>
    <row r="19">
      <c r="A19" s="2" t="n">
        <v>17</v>
      </c>
      <c r="B19">
        <f>IFERROR(INDEX('2001'!$O$2:$O$489,MATCH($A19,'2001'!$A$2:$A$489,0)),"")</f>
        <v/>
      </c>
      <c r="C19">
        <f>IFERROR(INDEX('2011'!$N$2:$N$490,MATCH($A19,'2011'!$A$2:$A$490,0)),"")</f>
        <v/>
      </c>
      <c r="D19" s="3">
        <f>IFERROR(INDEX('2001'!$Y$2:$Y$489,MATCH($A19,'2001'!$A$2:$A$489,0)),"")</f>
        <v/>
      </c>
      <c r="E19" s="3">
        <f>IFERROR(INDEX('2011'!$X$2:$X$490,MATCH($A19,'2011'!$A$2:$A$490,0)),"")</f>
        <v/>
      </c>
      <c r="F19" s="4">
        <f>IF(OR($D19="",$E19=""),"",$E19-$D19)</f>
        <v/>
      </c>
      <c r="G19">
        <f>IF(OR($B19="",$C19=""),"",$C19-$B19)</f>
        <v/>
      </c>
    </row>
    <row r="20">
      <c r="A20" s="2" t="n">
        <v>18</v>
      </c>
      <c r="B20">
        <f>IFERROR(INDEX('2001'!$O$2:$O$489,MATCH($A20,'2001'!$A$2:$A$489,0)),"")</f>
        <v/>
      </c>
      <c r="C20">
        <f>IFERROR(INDEX('2011'!$N$2:$N$490,MATCH($A20,'2011'!$A$2:$A$490,0)),"")</f>
        <v/>
      </c>
      <c r="D20" s="3">
        <f>IFERROR(INDEX('2001'!$Y$2:$Y$489,MATCH($A20,'2001'!$A$2:$A$489,0)),"")</f>
        <v/>
      </c>
      <c r="E20" s="3">
        <f>IFERROR(INDEX('2011'!$X$2:$X$490,MATCH($A20,'2011'!$A$2:$A$490,0)),"")</f>
        <v/>
      </c>
      <c r="F20" s="4">
        <f>IF(OR($D20="",$E20=""),"",$E20-$D20)</f>
        <v/>
      </c>
      <c r="G20">
        <f>IF(OR($B20="",$C20=""),"",$C20-$B20)</f>
        <v/>
      </c>
    </row>
    <row r="21">
      <c r="A21" s="2" t="n">
        <v>19</v>
      </c>
      <c r="B21">
        <f>IFERROR(INDEX('2001'!$O$2:$O$489,MATCH($A21,'2001'!$A$2:$A$489,0)),"")</f>
        <v/>
      </c>
      <c r="C21">
        <f>IFERROR(INDEX('2011'!$N$2:$N$490,MATCH($A21,'2011'!$A$2:$A$490,0)),"")</f>
        <v/>
      </c>
      <c r="D21" s="3">
        <f>IFERROR(INDEX('2001'!$Y$2:$Y$489,MATCH($A21,'2001'!$A$2:$A$489,0)),"")</f>
        <v/>
      </c>
      <c r="E21" s="3">
        <f>IFERROR(INDEX('2011'!$X$2:$X$490,MATCH($A21,'2011'!$A$2:$A$490,0)),"")</f>
        <v/>
      </c>
      <c r="F21" s="4">
        <f>IF(OR($D21="",$E21=""),"",$E21-$D21)</f>
        <v/>
      </c>
      <c r="G21">
        <f>IF(OR($B21="",$C21=""),"",$C21-$B21)</f>
        <v/>
      </c>
    </row>
    <row r="22">
      <c r="A22" s="2" t="n">
        <v>20</v>
      </c>
      <c r="B22">
        <f>IFERROR(INDEX('2001'!$O$2:$O$489,MATCH($A22,'2001'!$A$2:$A$489,0)),"")</f>
        <v/>
      </c>
      <c r="C22">
        <f>IFERROR(INDEX('2011'!$N$2:$N$490,MATCH($A22,'2011'!$A$2:$A$490,0)),"")</f>
        <v/>
      </c>
      <c r="D22" s="3">
        <f>IFERROR(INDEX('2001'!$Y$2:$Y$489,MATCH($A22,'2001'!$A$2:$A$489,0)),"")</f>
        <v/>
      </c>
      <c r="E22" s="3">
        <f>IFERROR(INDEX('2011'!$X$2:$X$490,MATCH($A22,'2011'!$A$2:$A$490,0)),"")</f>
        <v/>
      </c>
      <c r="F22" s="4">
        <f>IF(OR($D22="",$E22=""),"",$E22-$D22)</f>
        <v/>
      </c>
      <c r="G22">
        <f>IF(OR($B22="",$C22=""),"",$C22-$B22)</f>
        <v/>
      </c>
    </row>
    <row r="23">
      <c r="A23" s="2" t="n">
        <v>21</v>
      </c>
      <c r="B23">
        <f>IFERROR(INDEX('2001'!$O$2:$O$489,MATCH($A23,'2001'!$A$2:$A$489,0)),"")</f>
        <v/>
      </c>
      <c r="C23">
        <f>IFERROR(INDEX('2011'!$N$2:$N$490,MATCH($A23,'2011'!$A$2:$A$490,0)),"")</f>
        <v/>
      </c>
      <c r="D23" s="3">
        <f>IFERROR(INDEX('2001'!$Y$2:$Y$489,MATCH($A23,'2001'!$A$2:$A$489,0)),"")</f>
        <v/>
      </c>
      <c r="E23" s="3">
        <f>IFERROR(INDEX('2011'!$X$2:$X$490,MATCH($A23,'2011'!$A$2:$A$490,0)),"")</f>
        <v/>
      </c>
      <c r="F23" s="4">
        <f>IF(OR($D23="",$E23=""),"",$E23-$D23)</f>
        <v/>
      </c>
      <c r="G23">
        <f>IF(OR($B23="",$C23=""),"",$C23-$B23)</f>
        <v/>
      </c>
    </row>
    <row r="24">
      <c r="A24" s="2" t="n">
        <v>22</v>
      </c>
      <c r="B24">
        <f>IFERROR(INDEX('2001'!$O$2:$O$489,MATCH($A24,'2001'!$A$2:$A$489,0)),"")</f>
        <v/>
      </c>
      <c r="C24">
        <f>IFERROR(INDEX('2011'!$N$2:$N$490,MATCH($A24,'2011'!$A$2:$A$490,0)),"")</f>
        <v/>
      </c>
      <c r="D24" s="3">
        <f>IFERROR(INDEX('2001'!$Y$2:$Y$489,MATCH($A24,'2001'!$A$2:$A$489,0)),"")</f>
        <v/>
      </c>
      <c r="E24" s="3">
        <f>IFERROR(INDEX('2011'!$X$2:$X$490,MATCH($A24,'2011'!$A$2:$A$490,0)),"")</f>
        <v/>
      </c>
      <c r="F24" s="4">
        <f>IF(OR($D24="",$E24=""),"",$E24-$D24)</f>
        <v/>
      </c>
      <c r="G24">
        <f>IF(OR($B24="",$C24=""),"",$C24-$B24)</f>
        <v/>
      </c>
    </row>
    <row r="25">
      <c r="A25" s="2" t="n">
        <v>23</v>
      </c>
      <c r="B25">
        <f>IFERROR(INDEX('2001'!$O$2:$O$489,MATCH($A25,'2001'!$A$2:$A$489,0)),"")</f>
        <v/>
      </c>
      <c r="C25">
        <f>IFERROR(INDEX('2011'!$N$2:$N$490,MATCH($A25,'2011'!$A$2:$A$490,0)),"")</f>
        <v/>
      </c>
      <c r="D25" s="3">
        <f>IFERROR(INDEX('2001'!$Y$2:$Y$489,MATCH($A25,'2001'!$A$2:$A$489,0)),"")</f>
        <v/>
      </c>
      <c r="E25" s="3">
        <f>IFERROR(INDEX('2011'!$X$2:$X$490,MATCH($A25,'2011'!$A$2:$A$490,0)),"")</f>
        <v/>
      </c>
      <c r="F25" s="4">
        <f>IF(OR($D25="",$E25=""),"",$E25-$D25)</f>
        <v/>
      </c>
      <c r="G25">
        <f>IF(OR($B25="",$C25=""),"",$C25-$B25)</f>
        <v/>
      </c>
    </row>
    <row r="26">
      <c r="A26" s="2" t="n">
        <v>24</v>
      </c>
      <c r="B26">
        <f>IFERROR(INDEX('2001'!$O$2:$O$489,MATCH($A26,'2001'!$A$2:$A$489,0)),"")</f>
        <v/>
      </c>
      <c r="C26">
        <f>IFERROR(INDEX('2011'!$N$2:$N$490,MATCH($A26,'2011'!$A$2:$A$490,0)),"")</f>
        <v/>
      </c>
      <c r="D26" s="3">
        <f>IFERROR(INDEX('2001'!$Y$2:$Y$489,MATCH($A26,'2001'!$A$2:$A$489,0)),"")</f>
        <v/>
      </c>
      <c r="E26" s="3">
        <f>IFERROR(INDEX('2011'!$X$2:$X$490,MATCH($A26,'2011'!$A$2:$A$490,0)),"")</f>
        <v/>
      </c>
      <c r="F26" s="4">
        <f>IF(OR($D26="",$E26=""),"",$E26-$D26)</f>
        <v/>
      </c>
      <c r="G26">
        <f>IF(OR($B26="",$C26=""),"",$C26-$B26)</f>
        <v/>
      </c>
    </row>
    <row r="27">
      <c r="A27" s="2" t="n">
        <v>25</v>
      </c>
      <c r="B27">
        <f>IFERROR(INDEX('2001'!$O$2:$O$489,MATCH($A27,'2001'!$A$2:$A$489,0)),"")</f>
        <v/>
      </c>
      <c r="C27">
        <f>IFERROR(INDEX('2011'!$N$2:$N$490,MATCH($A27,'2011'!$A$2:$A$490,0)),"")</f>
        <v/>
      </c>
      <c r="D27" s="3">
        <f>IFERROR(INDEX('2001'!$Y$2:$Y$489,MATCH($A27,'2001'!$A$2:$A$489,0)),"")</f>
        <v/>
      </c>
      <c r="E27" s="3">
        <f>IFERROR(INDEX('2011'!$X$2:$X$490,MATCH($A27,'2011'!$A$2:$A$490,0)),"")</f>
        <v/>
      </c>
      <c r="F27" s="4">
        <f>IF(OR($D27="",$E27=""),"",$E27-$D27)</f>
        <v/>
      </c>
      <c r="G27">
        <f>IF(OR($B27="",$C27=""),"",$C27-$B27)</f>
        <v/>
      </c>
    </row>
    <row r="28">
      <c r="A28" s="2" t="n">
        <v>26</v>
      </c>
      <c r="B28">
        <f>IFERROR(INDEX('2001'!$O$2:$O$489,MATCH($A28,'2001'!$A$2:$A$489,0)),"")</f>
        <v/>
      </c>
      <c r="C28">
        <f>IFERROR(INDEX('2011'!$N$2:$N$490,MATCH($A28,'2011'!$A$2:$A$490,0)),"")</f>
        <v/>
      </c>
      <c r="D28" s="3">
        <f>IFERROR(INDEX('2001'!$Y$2:$Y$489,MATCH($A28,'2001'!$A$2:$A$489,0)),"")</f>
        <v/>
      </c>
      <c r="E28" s="3">
        <f>IFERROR(INDEX('2011'!$X$2:$X$490,MATCH($A28,'2011'!$A$2:$A$490,0)),"")</f>
        <v/>
      </c>
      <c r="F28" s="4">
        <f>IF(OR($D28="",$E28=""),"",$E28-$D28)</f>
        <v/>
      </c>
      <c r="G28">
        <f>IF(OR($B28="",$C28=""),"",$C28-$B28)</f>
        <v/>
      </c>
    </row>
    <row r="29">
      <c r="A29" s="2" t="n">
        <v>27</v>
      </c>
      <c r="B29">
        <f>IFERROR(INDEX('2001'!$O$2:$O$489,MATCH($A29,'2001'!$A$2:$A$489,0)),"")</f>
        <v/>
      </c>
      <c r="C29">
        <f>IFERROR(INDEX('2011'!$N$2:$N$490,MATCH($A29,'2011'!$A$2:$A$490,0)),"")</f>
        <v/>
      </c>
      <c r="D29" s="3">
        <f>IFERROR(INDEX('2001'!$Y$2:$Y$489,MATCH($A29,'2001'!$A$2:$A$489,0)),"")</f>
        <v/>
      </c>
      <c r="E29" s="3">
        <f>IFERROR(INDEX('2011'!$X$2:$X$490,MATCH($A29,'2011'!$A$2:$A$490,0)),"")</f>
        <v/>
      </c>
      <c r="F29" s="4">
        <f>IF(OR($D29="",$E29=""),"",$E29-$D29)</f>
        <v/>
      </c>
      <c r="G29">
        <f>IF(OR($B29="",$C29=""),"",$C29-$B29)</f>
        <v/>
      </c>
    </row>
    <row r="30">
      <c r="A30" s="2" t="n">
        <v>28</v>
      </c>
      <c r="B30">
        <f>IFERROR(INDEX('2001'!$O$2:$O$489,MATCH($A30,'2001'!$A$2:$A$489,0)),"")</f>
        <v/>
      </c>
      <c r="C30">
        <f>IFERROR(INDEX('2011'!$N$2:$N$490,MATCH($A30,'2011'!$A$2:$A$490,0)),"")</f>
        <v/>
      </c>
      <c r="D30" s="3">
        <f>IFERROR(INDEX('2001'!$Y$2:$Y$489,MATCH($A30,'2001'!$A$2:$A$489,0)),"")</f>
        <v/>
      </c>
      <c r="E30" s="3">
        <f>IFERROR(INDEX('2011'!$X$2:$X$490,MATCH($A30,'2011'!$A$2:$A$490,0)),"")</f>
        <v/>
      </c>
      <c r="F30" s="4">
        <f>IF(OR($D30="",$E30=""),"",$E30-$D30)</f>
        <v/>
      </c>
      <c r="G30">
        <f>IF(OR($B30="",$C30=""),"",$C30-$B30)</f>
        <v/>
      </c>
    </row>
    <row r="31">
      <c r="A31" s="2" t="n">
        <v>29</v>
      </c>
      <c r="B31">
        <f>IFERROR(INDEX('2001'!$O$2:$O$489,MATCH($A31,'2001'!$A$2:$A$489,0)),"")</f>
        <v/>
      </c>
      <c r="C31">
        <f>IFERROR(INDEX('2011'!$N$2:$N$490,MATCH($A31,'2011'!$A$2:$A$490,0)),"")</f>
        <v/>
      </c>
      <c r="D31" s="3">
        <f>IFERROR(INDEX('2001'!$Y$2:$Y$489,MATCH($A31,'2001'!$A$2:$A$489,0)),"")</f>
        <v/>
      </c>
      <c r="E31" s="3">
        <f>IFERROR(INDEX('2011'!$X$2:$X$490,MATCH($A31,'2011'!$A$2:$A$490,0)),"")</f>
        <v/>
      </c>
      <c r="F31" s="4">
        <f>IF(OR($D31="",$E31=""),"",$E31-$D31)</f>
        <v/>
      </c>
      <c r="G31">
        <f>IF(OR($B31="",$C31=""),"",$C31-$B31)</f>
        <v/>
      </c>
    </row>
    <row r="32">
      <c r="A32" s="2" t="n">
        <v>30</v>
      </c>
      <c r="B32">
        <f>IFERROR(INDEX('2001'!$O$2:$O$489,MATCH($A32,'2001'!$A$2:$A$489,0)),"")</f>
        <v/>
      </c>
      <c r="C32">
        <f>IFERROR(INDEX('2011'!$N$2:$N$490,MATCH($A32,'2011'!$A$2:$A$490,0)),"")</f>
        <v/>
      </c>
      <c r="D32" s="3">
        <f>IFERROR(INDEX('2001'!$Y$2:$Y$489,MATCH($A32,'2001'!$A$2:$A$489,0)),"")</f>
        <v/>
      </c>
      <c r="E32" s="3">
        <f>IFERROR(INDEX('2011'!$X$2:$X$490,MATCH($A32,'2011'!$A$2:$A$490,0)),"")</f>
        <v/>
      </c>
      <c r="F32" s="4">
        <f>IF(OR($D32="",$E32=""),"",$E32-$D32)</f>
        <v/>
      </c>
      <c r="G32">
        <f>IF(OR($B32="",$C32=""),"",$C32-$B32)</f>
        <v/>
      </c>
    </row>
    <row r="33">
      <c r="A33" s="2" t="n">
        <v>31</v>
      </c>
      <c r="B33">
        <f>IFERROR(INDEX('2001'!$O$2:$O$489,MATCH($A33,'2001'!$A$2:$A$489,0)),"")</f>
        <v/>
      </c>
      <c r="C33">
        <f>IFERROR(INDEX('2011'!$N$2:$N$490,MATCH($A33,'2011'!$A$2:$A$490,0)),"")</f>
        <v/>
      </c>
      <c r="D33" s="3">
        <f>IFERROR(INDEX('2001'!$Y$2:$Y$489,MATCH($A33,'2001'!$A$2:$A$489,0)),"")</f>
        <v/>
      </c>
      <c r="E33" s="3">
        <f>IFERROR(INDEX('2011'!$X$2:$X$490,MATCH($A33,'2011'!$A$2:$A$490,0)),"")</f>
        <v/>
      </c>
      <c r="F33" s="4">
        <f>IF(OR($D33="",$E33=""),"",$E33-$D33)</f>
        <v/>
      </c>
      <c r="G33">
        <f>IF(OR($B33="",$C33=""),"",$C33-$B33)</f>
        <v/>
      </c>
    </row>
    <row r="34">
      <c r="A34" s="2" t="n">
        <v>32</v>
      </c>
      <c r="B34">
        <f>IFERROR(INDEX('2001'!$O$2:$O$489,MATCH($A34,'2001'!$A$2:$A$489,0)),"")</f>
        <v/>
      </c>
      <c r="C34">
        <f>IFERROR(INDEX('2011'!$N$2:$N$490,MATCH($A34,'2011'!$A$2:$A$490,0)),"")</f>
        <v/>
      </c>
      <c r="D34" s="3">
        <f>IFERROR(INDEX('2001'!$Y$2:$Y$489,MATCH($A34,'2001'!$A$2:$A$489,0)),"")</f>
        <v/>
      </c>
      <c r="E34" s="3">
        <f>IFERROR(INDEX('2011'!$X$2:$X$490,MATCH($A34,'2011'!$A$2:$A$490,0)),"")</f>
        <v/>
      </c>
      <c r="F34" s="4">
        <f>IF(OR($D34="",$E34=""),"",$E34-$D34)</f>
        <v/>
      </c>
      <c r="G34">
        <f>IF(OR($B34="",$C34=""),"",$C34-$B34)</f>
        <v/>
      </c>
    </row>
    <row r="35">
      <c r="A35" s="2" t="n">
        <v>33</v>
      </c>
      <c r="B35">
        <f>IFERROR(INDEX('2001'!$O$2:$O$489,MATCH($A35,'2001'!$A$2:$A$489,0)),"")</f>
        <v/>
      </c>
      <c r="C35">
        <f>IFERROR(INDEX('2011'!$N$2:$N$490,MATCH($A35,'2011'!$A$2:$A$490,0)),"")</f>
        <v/>
      </c>
      <c r="D35" s="3">
        <f>IFERROR(INDEX('2001'!$Y$2:$Y$489,MATCH($A35,'2001'!$A$2:$A$489,0)),"")</f>
        <v/>
      </c>
      <c r="E35" s="3">
        <f>IFERROR(INDEX('2011'!$X$2:$X$490,MATCH($A35,'2011'!$A$2:$A$490,0)),"")</f>
        <v/>
      </c>
      <c r="F35" s="4">
        <f>IF(OR($D35="",$E35=""),"",$E35-$D35)</f>
        <v/>
      </c>
      <c r="G35">
        <f>IF(OR($B35="",$C35=""),"",$C35-$B35)</f>
        <v/>
      </c>
    </row>
    <row r="36">
      <c r="A36" s="2" t="n">
        <v>34</v>
      </c>
      <c r="B36">
        <f>IFERROR(INDEX('2001'!$O$2:$O$489,MATCH($A36,'2001'!$A$2:$A$489,0)),"")</f>
        <v/>
      </c>
      <c r="C36">
        <f>IFERROR(INDEX('2011'!$N$2:$N$490,MATCH($A36,'2011'!$A$2:$A$490,0)),"")</f>
        <v/>
      </c>
      <c r="D36" s="3">
        <f>IFERROR(INDEX('2001'!$Y$2:$Y$489,MATCH($A36,'2001'!$A$2:$A$489,0)),"")</f>
        <v/>
      </c>
      <c r="E36" s="3">
        <f>IFERROR(INDEX('2011'!$X$2:$X$490,MATCH($A36,'2011'!$A$2:$A$490,0)),"")</f>
        <v/>
      </c>
      <c r="F36" s="4">
        <f>IF(OR($D36="",$E36=""),"",$E36-$D36)</f>
        <v/>
      </c>
      <c r="G36">
        <f>IF(OR($B36="",$C36=""),"",$C36-$B36)</f>
        <v/>
      </c>
    </row>
    <row r="37">
      <c r="A37" s="2" t="n">
        <v>35</v>
      </c>
      <c r="B37">
        <f>IFERROR(INDEX('2001'!$O$2:$O$489,MATCH($A37,'2001'!$A$2:$A$489,0)),"")</f>
        <v/>
      </c>
      <c r="C37">
        <f>IFERROR(INDEX('2011'!$N$2:$N$490,MATCH($A37,'2011'!$A$2:$A$490,0)),"")</f>
        <v/>
      </c>
      <c r="D37" s="3">
        <f>IFERROR(INDEX('2001'!$Y$2:$Y$489,MATCH($A37,'2001'!$A$2:$A$489,0)),"")</f>
        <v/>
      </c>
      <c r="E37" s="3">
        <f>IFERROR(INDEX('2011'!$X$2:$X$490,MATCH($A37,'2011'!$A$2:$A$490,0)),"")</f>
        <v/>
      </c>
      <c r="F37" s="4">
        <f>IF(OR($D37="",$E37=""),"",$E37-$D37)</f>
        <v/>
      </c>
      <c r="G37">
        <f>IF(OR($B37="",$C37=""),"",$C37-$B37)</f>
        <v/>
      </c>
    </row>
    <row r="38">
      <c r="A38" s="2" t="n">
        <v>36</v>
      </c>
      <c r="B38">
        <f>IFERROR(INDEX('2001'!$O$2:$O$489,MATCH($A38,'2001'!$A$2:$A$489,0)),"")</f>
        <v/>
      </c>
      <c r="C38">
        <f>IFERROR(INDEX('2011'!$N$2:$N$490,MATCH($A38,'2011'!$A$2:$A$490,0)),"")</f>
        <v/>
      </c>
      <c r="D38" s="3">
        <f>IFERROR(INDEX('2001'!$Y$2:$Y$489,MATCH($A38,'2001'!$A$2:$A$489,0)),"")</f>
        <v/>
      </c>
      <c r="E38" s="3">
        <f>IFERROR(INDEX('2011'!$X$2:$X$490,MATCH($A38,'2011'!$A$2:$A$490,0)),"")</f>
        <v/>
      </c>
      <c r="F38" s="4">
        <f>IF(OR($D38="",$E38=""),"",$E38-$D38)</f>
        <v/>
      </c>
      <c r="G38">
        <f>IF(OR($B38="",$C38=""),"",$C38-$B38)</f>
        <v/>
      </c>
    </row>
    <row r="39">
      <c r="A39" s="2" t="n">
        <v>37</v>
      </c>
      <c r="B39">
        <f>IFERROR(INDEX('2001'!$O$2:$O$489,MATCH($A39,'2001'!$A$2:$A$489,0)),"")</f>
        <v/>
      </c>
      <c r="C39">
        <f>IFERROR(INDEX('2011'!$N$2:$N$490,MATCH($A39,'2011'!$A$2:$A$490,0)),"")</f>
        <v/>
      </c>
      <c r="D39" s="3">
        <f>IFERROR(INDEX('2001'!$Y$2:$Y$489,MATCH($A39,'2001'!$A$2:$A$489,0)),"")</f>
        <v/>
      </c>
      <c r="E39" s="3">
        <f>IFERROR(INDEX('2011'!$X$2:$X$490,MATCH($A39,'2011'!$A$2:$A$490,0)),"")</f>
        <v/>
      </c>
      <c r="F39" s="4">
        <f>IF(OR($D39="",$E39=""),"",$E39-$D39)</f>
        <v/>
      </c>
      <c r="G39">
        <f>IF(OR($B39="",$C39=""),"",$C39-$B39)</f>
        <v/>
      </c>
    </row>
    <row r="40">
      <c r="A40" s="2" t="n">
        <v>38</v>
      </c>
      <c r="B40">
        <f>IFERROR(INDEX('2001'!$O$2:$O$489,MATCH($A40,'2001'!$A$2:$A$489,0)),"")</f>
        <v/>
      </c>
      <c r="C40">
        <f>IFERROR(INDEX('2011'!$N$2:$N$490,MATCH($A40,'2011'!$A$2:$A$490,0)),"")</f>
        <v/>
      </c>
      <c r="D40" s="3">
        <f>IFERROR(INDEX('2001'!$Y$2:$Y$489,MATCH($A40,'2001'!$A$2:$A$489,0)),"")</f>
        <v/>
      </c>
      <c r="E40" s="3">
        <f>IFERROR(INDEX('2011'!$X$2:$X$490,MATCH($A40,'2011'!$A$2:$A$490,0)),"")</f>
        <v/>
      </c>
      <c r="F40" s="4">
        <f>IF(OR($D40="",$E40=""),"",$E40-$D40)</f>
        <v/>
      </c>
      <c r="G40">
        <f>IF(OR($B40="",$C40=""),"",$C40-$B40)</f>
        <v/>
      </c>
    </row>
    <row r="41">
      <c r="A41" s="2" t="n">
        <v>39</v>
      </c>
      <c r="B41">
        <f>IFERROR(INDEX('2001'!$O$2:$O$489,MATCH($A41,'2001'!$A$2:$A$489,0)),"")</f>
        <v/>
      </c>
      <c r="C41">
        <f>IFERROR(INDEX('2011'!$N$2:$N$490,MATCH($A41,'2011'!$A$2:$A$490,0)),"")</f>
        <v/>
      </c>
      <c r="D41" s="3">
        <f>IFERROR(INDEX('2001'!$Y$2:$Y$489,MATCH($A41,'2001'!$A$2:$A$489,0)),"")</f>
        <v/>
      </c>
      <c r="E41" s="3">
        <f>IFERROR(INDEX('2011'!$X$2:$X$490,MATCH($A41,'2011'!$A$2:$A$490,0)),"")</f>
        <v/>
      </c>
      <c r="F41" s="4">
        <f>IF(OR($D41="",$E41=""),"",$E41-$D41)</f>
        <v/>
      </c>
      <c r="G41">
        <f>IF(OR($B41="",$C41=""),"",$C41-$B41)</f>
        <v/>
      </c>
    </row>
    <row r="42">
      <c r="A42" s="2" t="n">
        <v>40</v>
      </c>
      <c r="B42">
        <f>IFERROR(INDEX('2001'!$O$2:$O$489,MATCH($A42,'2001'!$A$2:$A$489,0)),"")</f>
        <v/>
      </c>
      <c r="C42">
        <f>IFERROR(INDEX('2011'!$N$2:$N$490,MATCH($A42,'2011'!$A$2:$A$490,0)),"")</f>
        <v/>
      </c>
      <c r="D42" s="3">
        <f>IFERROR(INDEX('2001'!$Y$2:$Y$489,MATCH($A42,'2001'!$A$2:$A$489,0)),"")</f>
        <v/>
      </c>
      <c r="E42" s="3">
        <f>IFERROR(INDEX('2011'!$X$2:$X$490,MATCH($A42,'2011'!$A$2:$A$490,0)),"")</f>
        <v/>
      </c>
      <c r="F42" s="4">
        <f>IF(OR($D42="",$E42=""),"",$E42-$D42)</f>
        <v/>
      </c>
      <c r="G42">
        <f>IF(OR($B42="",$C42=""),"",$C42-$B42)</f>
        <v/>
      </c>
    </row>
    <row r="43">
      <c r="A43" s="2" t="n">
        <v>41</v>
      </c>
      <c r="B43">
        <f>IFERROR(INDEX('2001'!$O$2:$O$489,MATCH($A43,'2001'!$A$2:$A$489,0)),"")</f>
        <v/>
      </c>
      <c r="C43">
        <f>IFERROR(INDEX('2011'!$N$2:$N$490,MATCH($A43,'2011'!$A$2:$A$490,0)),"")</f>
        <v/>
      </c>
      <c r="D43" s="3">
        <f>IFERROR(INDEX('2001'!$Y$2:$Y$489,MATCH($A43,'2001'!$A$2:$A$489,0)),"")</f>
        <v/>
      </c>
      <c r="E43" s="3">
        <f>IFERROR(INDEX('2011'!$X$2:$X$490,MATCH($A43,'2011'!$A$2:$A$490,0)),"")</f>
        <v/>
      </c>
      <c r="F43" s="4">
        <f>IF(OR($D43="",$E43=""),"",$E43-$D43)</f>
        <v/>
      </c>
      <c r="G43">
        <f>IF(OR($B43="",$C43=""),"",$C43-$B43)</f>
        <v/>
      </c>
    </row>
    <row r="44">
      <c r="A44" s="2" t="n">
        <v>42</v>
      </c>
      <c r="B44">
        <f>IFERROR(INDEX('2001'!$O$2:$O$489,MATCH($A44,'2001'!$A$2:$A$489,0)),"")</f>
        <v/>
      </c>
      <c r="C44">
        <f>IFERROR(INDEX('2011'!$N$2:$N$490,MATCH($A44,'2011'!$A$2:$A$490,0)),"")</f>
        <v/>
      </c>
      <c r="D44" s="3">
        <f>IFERROR(INDEX('2001'!$Y$2:$Y$489,MATCH($A44,'2001'!$A$2:$A$489,0)),"")</f>
        <v/>
      </c>
      <c r="E44" s="3">
        <f>IFERROR(INDEX('2011'!$X$2:$X$490,MATCH($A44,'2011'!$A$2:$A$490,0)),"")</f>
        <v/>
      </c>
      <c r="F44" s="4">
        <f>IF(OR($D44="",$E44=""),"",$E44-$D44)</f>
        <v/>
      </c>
      <c r="G44">
        <f>IF(OR($B44="",$C44=""),"",$C44-$B44)</f>
        <v/>
      </c>
    </row>
    <row r="45">
      <c r="A45" s="2" t="n">
        <v>43</v>
      </c>
      <c r="B45">
        <f>IFERROR(INDEX('2001'!$O$2:$O$489,MATCH($A45,'2001'!$A$2:$A$489,0)),"")</f>
        <v/>
      </c>
      <c r="C45">
        <f>IFERROR(INDEX('2011'!$N$2:$N$490,MATCH($A45,'2011'!$A$2:$A$490,0)),"")</f>
        <v/>
      </c>
      <c r="D45" s="3">
        <f>IFERROR(INDEX('2001'!$Y$2:$Y$489,MATCH($A45,'2001'!$A$2:$A$489,0)),"")</f>
        <v/>
      </c>
      <c r="E45" s="3">
        <f>IFERROR(INDEX('2011'!$X$2:$X$490,MATCH($A45,'2011'!$A$2:$A$490,0)),"")</f>
        <v/>
      </c>
      <c r="F45" s="4">
        <f>IF(OR($D45="",$E45=""),"",$E45-$D45)</f>
        <v/>
      </c>
      <c r="G45">
        <f>IF(OR($B45="",$C45=""),"",$C45-$B45)</f>
        <v/>
      </c>
    </row>
    <row r="46">
      <c r="A46" s="2" t="n">
        <v>44</v>
      </c>
      <c r="B46">
        <f>IFERROR(INDEX('2001'!$O$2:$O$489,MATCH($A46,'2001'!$A$2:$A$489,0)),"")</f>
        <v/>
      </c>
      <c r="C46">
        <f>IFERROR(INDEX('2011'!$N$2:$N$490,MATCH($A46,'2011'!$A$2:$A$490,0)),"")</f>
        <v/>
      </c>
      <c r="D46" s="3">
        <f>IFERROR(INDEX('2001'!$Y$2:$Y$489,MATCH($A46,'2001'!$A$2:$A$489,0)),"")</f>
        <v/>
      </c>
      <c r="E46" s="3">
        <f>IFERROR(INDEX('2011'!$X$2:$X$490,MATCH($A46,'2011'!$A$2:$A$490,0)),"")</f>
        <v/>
      </c>
      <c r="F46" s="4">
        <f>IF(OR($D46="",$E46=""),"",$E46-$D46)</f>
        <v/>
      </c>
      <c r="G46">
        <f>IF(OR($B46="",$C46=""),"",$C46-$B46)</f>
        <v/>
      </c>
    </row>
    <row r="47">
      <c r="A47" s="2" t="n">
        <v>45</v>
      </c>
      <c r="B47">
        <f>IFERROR(INDEX('2001'!$O$2:$O$489,MATCH($A47,'2001'!$A$2:$A$489,0)),"")</f>
        <v/>
      </c>
      <c r="C47">
        <f>IFERROR(INDEX('2011'!$N$2:$N$490,MATCH($A47,'2011'!$A$2:$A$490,0)),"")</f>
        <v/>
      </c>
      <c r="D47" s="3">
        <f>IFERROR(INDEX('2001'!$Y$2:$Y$489,MATCH($A47,'2001'!$A$2:$A$489,0)),"")</f>
        <v/>
      </c>
      <c r="E47" s="3">
        <f>IFERROR(INDEX('2011'!$X$2:$X$490,MATCH($A47,'2011'!$A$2:$A$490,0)),"")</f>
        <v/>
      </c>
      <c r="F47" s="4">
        <f>IF(OR($D47="",$E47=""),"",$E47-$D47)</f>
        <v/>
      </c>
      <c r="G47">
        <f>IF(OR($B47="",$C47=""),"",$C47-$B47)</f>
        <v/>
      </c>
    </row>
    <row r="48">
      <c r="A48" s="2" t="n">
        <v>46</v>
      </c>
      <c r="B48">
        <f>IFERROR(INDEX('2001'!$O$2:$O$489,MATCH($A48,'2001'!$A$2:$A$489,0)),"")</f>
        <v/>
      </c>
      <c r="C48">
        <f>IFERROR(INDEX('2011'!$N$2:$N$490,MATCH($A48,'2011'!$A$2:$A$490,0)),"")</f>
        <v/>
      </c>
      <c r="D48" s="3">
        <f>IFERROR(INDEX('2001'!$Y$2:$Y$489,MATCH($A48,'2001'!$A$2:$A$489,0)),"")</f>
        <v/>
      </c>
      <c r="E48" s="3">
        <f>IFERROR(INDEX('2011'!$X$2:$X$490,MATCH($A48,'2011'!$A$2:$A$490,0)),"")</f>
        <v/>
      </c>
      <c r="F48" s="4">
        <f>IF(OR($D48="",$E48=""),"",$E48-$D48)</f>
        <v/>
      </c>
      <c r="G48">
        <f>IF(OR($B48="",$C48=""),"",$C48-$B48)</f>
        <v/>
      </c>
    </row>
    <row r="49">
      <c r="A49" s="2" t="n">
        <v>47</v>
      </c>
      <c r="B49">
        <f>IFERROR(INDEX('2001'!$O$2:$O$489,MATCH($A49,'2001'!$A$2:$A$489,0)),"")</f>
        <v/>
      </c>
      <c r="C49">
        <f>IFERROR(INDEX('2011'!$N$2:$N$490,MATCH($A49,'2011'!$A$2:$A$490,0)),"")</f>
        <v/>
      </c>
      <c r="D49" s="3">
        <f>IFERROR(INDEX('2001'!$Y$2:$Y$489,MATCH($A49,'2001'!$A$2:$A$489,0)),"")</f>
        <v/>
      </c>
      <c r="E49" s="3">
        <f>IFERROR(INDEX('2011'!$X$2:$X$490,MATCH($A49,'2011'!$A$2:$A$490,0)),"")</f>
        <v/>
      </c>
      <c r="F49" s="4">
        <f>IF(OR($D49="",$E49=""),"",$E49-$D49)</f>
        <v/>
      </c>
      <c r="G49">
        <f>IF(OR($B49="",$C49=""),"",$C49-$B49)</f>
        <v/>
      </c>
    </row>
    <row r="50">
      <c r="A50" s="2" t="n">
        <v>48</v>
      </c>
      <c r="B50">
        <f>IFERROR(INDEX('2001'!$O$2:$O$489,MATCH($A50,'2001'!$A$2:$A$489,0)),"")</f>
        <v/>
      </c>
      <c r="C50">
        <f>IFERROR(INDEX('2011'!$N$2:$N$490,MATCH($A50,'2011'!$A$2:$A$490,0)),"")</f>
        <v/>
      </c>
      <c r="D50" s="3">
        <f>IFERROR(INDEX('2001'!$Y$2:$Y$489,MATCH($A50,'2001'!$A$2:$A$489,0)),"")</f>
        <v/>
      </c>
      <c r="E50" s="3">
        <f>IFERROR(INDEX('2011'!$X$2:$X$490,MATCH($A50,'2011'!$A$2:$A$490,0)),"")</f>
        <v/>
      </c>
      <c r="F50" s="4">
        <f>IF(OR($D50="",$E50=""),"",$E50-$D50)</f>
        <v/>
      </c>
      <c r="G50">
        <f>IF(OR($B50="",$C50=""),"",$C50-$B50)</f>
        <v/>
      </c>
    </row>
    <row r="51">
      <c r="A51" s="2" t="n">
        <v>49</v>
      </c>
      <c r="B51">
        <f>IFERROR(INDEX('2001'!$O$2:$O$489,MATCH($A51,'2001'!$A$2:$A$489,0)),"")</f>
        <v/>
      </c>
      <c r="C51">
        <f>IFERROR(INDEX('2011'!$N$2:$N$490,MATCH($A51,'2011'!$A$2:$A$490,0)),"")</f>
        <v/>
      </c>
      <c r="D51" s="3">
        <f>IFERROR(INDEX('2001'!$Y$2:$Y$489,MATCH($A51,'2001'!$A$2:$A$489,0)),"")</f>
        <v/>
      </c>
      <c r="E51" s="3">
        <f>IFERROR(INDEX('2011'!$X$2:$X$490,MATCH($A51,'2011'!$A$2:$A$490,0)),"")</f>
        <v/>
      </c>
      <c r="F51" s="4">
        <f>IF(OR($D51="",$E51=""),"",$E51-$D51)</f>
        <v/>
      </c>
      <c r="G51">
        <f>IF(OR($B51="",$C51=""),"",$C51-$B51)</f>
        <v/>
      </c>
    </row>
    <row r="52">
      <c r="A52" s="2" t="n">
        <v>50</v>
      </c>
      <c r="B52">
        <f>IFERROR(INDEX('2001'!$O$2:$O$489,MATCH($A52,'2001'!$A$2:$A$489,0)),"")</f>
        <v/>
      </c>
      <c r="C52">
        <f>IFERROR(INDEX('2011'!$N$2:$N$490,MATCH($A52,'2011'!$A$2:$A$490,0)),"")</f>
        <v/>
      </c>
      <c r="D52" s="3">
        <f>IFERROR(INDEX('2001'!$Y$2:$Y$489,MATCH($A52,'2001'!$A$2:$A$489,0)),"")</f>
        <v/>
      </c>
      <c r="E52" s="3">
        <f>IFERROR(INDEX('2011'!$X$2:$X$490,MATCH($A52,'2011'!$A$2:$A$490,0)),"")</f>
        <v/>
      </c>
      <c r="F52" s="4">
        <f>IF(OR($D52="",$E52=""),"",$E52-$D52)</f>
        <v/>
      </c>
      <c r="G52">
        <f>IF(OR($B52="",$C52=""),"",$C52-$B52)</f>
        <v/>
      </c>
    </row>
    <row r="53">
      <c r="A53" s="2" t="n">
        <v>51</v>
      </c>
      <c r="B53">
        <f>IFERROR(INDEX('2001'!$O$2:$O$489,MATCH($A53,'2001'!$A$2:$A$489,0)),"")</f>
        <v/>
      </c>
      <c r="C53">
        <f>IFERROR(INDEX('2011'!$N$2:$N$490,MATCH($A53,'2011'!$A$2:$A$490,0)),"")</f>
        <v/>
      </c>
      <c r="D53" s="3">
        <f>IFERROR(INDEX('2001'!$Y$2:$Y$489,MATCH($A53,'2001'!$A$2:$A$489,0)),"")</f>
        <v/>
      </c>
      <c r="E53" s="3">
        <f>IFERROR(INDEX('2011'!$X$2:$X$490,MATCH($A53,'2011'!$A$2:$A$490,0)),"")</f>
        <v/>
      </c>
      <c r="F53" s="4">
        <f>IF(OR($D53="",$E53=""),"",$E53-$D53)</f>
        <v/>
      </c>
      <c r="G53">
        <f>IF(OR($B53="",$C53=""),"",$C53-$B53)</f>
        <v/>
      </c>
    </row>
    <row r="54">
      <c r="A54" s="2" t="n">
        <v>52</v>
      </c>
      <c r="B54">
        <f>IFERROR(INDEX('2001'!$O$2:$O$489,MATCH($A54,'2001'!$A$2:$A$489,0)),"")</f>
        <v/>
      </c>
      <c r="C54">
        <f>IFERROR(INDEX('2011'!$N$2:$N$490,MATCH($A54,'2011'!$A$2:$A$490,0)),"")</f>
        <v/>
      </c>
      <c r="D54" s="3">
        <f>IFERROR(INDEX('2001'!$Y$2:$Y$489,MATCH($A54,'2001'!$A$2:$A$489,0)),"")</f>
        <v/>
      </c>
      <c r="E54" s="3">
        <f>IFERROR(INDEX('2011'!$X$2:$X$490,MATCH($A54,'2011'!$A$2:$A$490,0)),"")</f>
        <v/>
      </c>
      <c r="F54" s="4">
        <f>IF(OR($D54="",$E54=""),"",$E54-$D54)</f>
        <v/>
      </c>
      <c r="G54">
        <f>IF(OR($B54="",$C54=""),"",$C54-$B54)</f>
        <v/>
      </c>
    </row>
    <row r="55">
      <c r="A55" s="2" t="n">
        <v>53</v>
      </c>
      <c r="B55">
        <f>IFERROR(INDEX('2001'!$O$2:$O$489,MATCH($A55,'2001'!$A$2:$A$489,0)),"")</f>
        <v/>
      </c>
      <c r="C55">
        <f>IFERROR(INDEX('2011'!$N$2:$N$490,MATCH($A55,'2011'!$A$2:$A$490,0)),"")</f>
        <v/>
      </c>
      <c r="D55" s="3">
        <f>IFERROR(INDEX('2001'!$Y$2:$Y$489,MATCH($A55,'2001'!$A$2:$A$489,0)),"")</f>
        <v/>
      </c>
      <c r="E55" s="3">
        <f>IFERROR(INDEX('2011'!$X$2:$X$490,MATCH($A55,'2011'!$A$2:$A$490,0)),"")</f>
        <v/>
      </c>
      <c r="F55" s="4">
        <f>IF(OR($D55="",$E55=""),"",$E55-$D55)</f>
        <v/>
      </c>
      <c r="G55">
        <f>IF(OR($B55="",$C55=""),"",$C55-$B55)</f>
        <v/>
      </c>
    </row>
    <row r="56">
      <c r="A56" s="2" t="n">
        <v>54</v>
      </c>
      <c r="B56">
        <f>IFERROR(INDEX('2001'!$O$2:$O$489,MATCH($A56,'2001'!$A$2:$A$489,0)),"")</f>
        <v/>
      </c>
      <c r="C56">
        <f>IFERROR(INDEX('2011'!$N$2:$N$490,MATCH($A56,'2011'!$A$2:$A$490,0)),"")</f>
        <v/>
      </c>
      <c r="D56" s="3">
        <f>IFERROR(INDEX('2001'!$Y$2:$Y$489,MATCH($A56,'2001'!$A$2:$A$489,0)),"")</f>
        <v/>
      </c>
      <c r="E56" s="3">
        <f>IFERROR(INDEX('2011'!$X$2:$X$490,MATCH($A56,'2011'!$A$2:$A$490,0)),"")</f>
        <v/>
      </c>
      <c r="F56" s="4">
        <f>IF(OR($D56="",$E56=""),"",$E56-$D56)</f>
        <v/>
      </c>
      <c r="G56">
        <f>IF(OR($B56="",$C56=""),"",$C56-$B56)</f>
        <v/>
      </c>
    </row>
    <row r="57">
      <c r="A57" s="2" t="n">
        <v>55</v>
      </c>
      <c r="B57">
        <f>IFERROR(INDEX('2001'!$O$2:$O$489,MATCH($A57,'2001'!$A$2:$A$489,0)),"")</f>
        <v/>
      </c>
      <c r="C57">
        <f>IFERROR(INDEX('2011'!$N$2:$N$490,MATCH($A57,'2011'!$A$2:$A$490,0)),"")</f>
        <v/>
      </c>
      <c r="D57" s="3">
        <f>IFERROR(INDEX('2001'!$Y$2:$Y$489,MATCH($A57,'2001'!$A$2:$A$489,0)),"")</f>
        <v/>
      </c>
      <c r="E57" s="3">
        <f>IFERROR(INDEX('2011'!$X$2:$X$490,MATCH($A57,'2011'!$A$2:$A$490,0)),"")</f>
        <v/>
      </c>
      <c r="F57" s="4">
        <f>IF(OR($D57="",$E57=""),"",$E57-$D57)</f>
        <v/>
      </c>
      <c r="G57">
        <f>IF(OR($B57="",$C57=""),"",$C57-$B57)</f>
        <v/>
      </c>
    </row>
    <row r="58">
      <c r="A58" s="2" t="n">
        <v>56</v>
      </c>
      <c r="B58">
        <f>IFERROR(INDEX('2001'!$O$2:$O$489,MATCH($A58,'2001'!$A$2:$A$489,0)),"")</f>
        <v/>
      </c>
      <c r="C58">
        <f>IFERROR(INDEX('2011'!$N$2:$N$490,MATCH($A58,'2011'!$A$2:$A$490,0)),"")</f>
        <v/>
      </c>
      <c r="D58" s="3">
        <f>IFERROR(INDEX('2001'!$Y$2:$Y$489,MATCH($A58,'2001'!$A$2:$A$489,0)),"")</f>
        <v/>
      </c>
      <c r="E58" s="3">
        <f>IFERROR(INDEX('2011'!$X$2:$X$490,MATCH($A58,'2011'!$A$2:$A$490,0)),"")</f>
        <v/>
      </c>
      <c r="F58" s="4">
        <f>IF(OR($D58="",$E58=""),"",$E58-$D58)</f>
        <v/>
      </c>
      <c r="G58">
        <f>IF(OR($B58="",$C58=""),"",$C58-$B58)</f>
        <v/>
      </c>
    </row>
    <row r="59">
      <c r="A59" s="2" t="n">
        <v>57</v>
      </c>
      <c r="B59">
        <f>IFERROR(INDEX('2001'!$O$2:$O$489,MATCH($A59,'2001'!$A$2:$A$489,0)),"")</f>
        <v/>
      </c>
      <c r="C59">
        <f>IFERROR(INDEX('2011'!$N$2:$N$490,MATCH($A59,'2011'!$A$2:$A$490,0)),"")</f>
        <v/>
      </c>
      <c r="D59" s="3">
        <f>IFERROR(INDEX('2001'!$Y$2:$Y$489,MATCH($A59,'2001'!$A$2:$A$489,0)),"")</f>
        <v/>
      </c>
      <c r="E59" s="3">
        <f>IFERROR(INDEX('2011'!$X$2:$X$490,MATCH($A59,'2011'!$A$2:$A$490,0)),"")</f>
        <v/>
      </c>
      <c r="F59" s="4">
        <f>IF(OR($D59="",$E59=""),"",$E59-$D59)</f>
        <v/>
      </c>
      <c r="G59">
        <f>IF(OR($B59="",$C59=""),"",$C59-$B59)</f>
        <v/>
      </c>
    </row>
    <row r="60">
      <c r="A60" s="2" t="n">
        <v>58</v>
      </c>
      <c r="B60">
        <f>IFERROR(INDEX('2001'!$O$2:$O$489,MATCH($A60,'2001'!$A$2:$A$489,0)),"")</f>
        <v/>
      </c>
      <c r="C60">
        <f>IFERROR(INDEX('2011'!$N$2:$N$490,MATCH($A60,'2011'!$A$2:$A$490,0)),"")</f>
        <v/>
      </c>
      <c r="D60" s="3">
        <f>IFERROR(INDEX('2001'!$Y$2:$Y$489,MATCH($A60,'2001'!$A$2:$A$489,0)),"")</f>
        <v/>
      </c>
      <c r="E60" s="3">
        <f>IFERROR(INDEX('2011'!$X$2:$X$490,MATCH($A60,'2011'!$A$2:$A$490,0)),"")</f>
        <v/>
      </c>
      <c r="F60" s="4">
        <f>IF(OR($D60="",$E60=""),"",$E60-$D60)</f>
        <v/>
      </c>
      <c r="G60">
        <f>IF(OR($B60="",$C60=""),"",$C60-$B60)</f>
        <v/>
      </c>
    </row>
    <row r="61">
      <c r="A61" s="2" t="n">
        <v>59</v>
      </c>
      <c r="B61">
        <f>IFERROR(INDEX('2001'!$O$2:$O$489,MATCH($A61,'2001'!$A$2:$A$489,0)),"")</f>
        <v/>
      </c>
      <c r="C61">
        <f>IFERROR(INDEX('2011'!$N$2:$N$490,MATCH($A61,'2011'!$A$2:$A$490,0)),"")</f>
        <v/>
      </c>
      <c r="D61" s="3">
        <f>IFERROR(INDEX('2001'!$Y$2:$Y$489,MATCH($A61,'2001'!$A$2:$A$489,0)),"")</f>
        <v/>
      </c>
      <c r="E61" s="3">
        <f>IFERROR(INDEX('2011'!$X$2:$X$490,MATCH($A61,'2011'!$A$2:$A$490,0)),"")</f>
        <v/>
      </c>
      <c r="F61" s="4">
        <f>IF(OR($D61="",$E61=""),"",$E61-$D61)</f>
        <v/>
      </c>
      <c r="G61">
        <f>IF(OR($B61="",$C61=""),"",$C61-$B61)</f>
        <v/>
      </c>
    </row>
    <row r="62">
      <c r="A62" s="2" t="n">
        <v>60</v>
      </c>
      <c r="B62">
        <f>IFERROR(INDEX('2001'!$O$2:$O$489,MATCH($A62,'2001'!$A$2:$A$489,0)),"")</f>
        <v/>
      </c>
      <c r="C62">
        <f>IFERROR(INDEX('2011'!$N$2:$N$490,MATCH($A62,'2011'!$A$2:$A$490,0)),"")</f>
        <v/>
      </c>
      <c r="D62" s="3">
        <f>IFERROR(INDEX('2001'!$Y$2:$Y$489,MATCH($A62,'2001'!$A$2:$A$489,0)),"")</f>
        <v/>
      </c>
      <c r="E62" s="3">
        <f>IFERROR(INDEX('2011'!$X$2:$X$490,MATCH($A62,'2011'!$A$2:$A$490,0)),"")</f>
        <v/>
      </c>
      <c r="F62" s="4">
        <f>IF(OR($D62="",$E62=""),"",$E62-$D62)</f>
        <v/>
      </c>
      <c r="G62">
        <f>IF(OR($B62="",$C62=""),"",$C62-$B62)</f>
        <v/>
      </c>
    </row>
    <row r="63">
      <c r="A63" s="2" t="n">
        <v>61</v>
      </c>
      <c r="B63">
        <f>IFERROR(INDEX('2001'!$O$2:$O$489,MATCH($A63,'2001'!$A$2:$A$489,0)),"")</f>
        <v/>
      </c>
      <c r="C63">
        <f>IFERROR(INDEX('2011'!$N$2:$N$490,MATCH($A63,'2011'!$A$2:$A$490,0)),"")</f>
        <v/>
      </c>
      <c r="D63" s="3">
        <f>IFERROR(INDEX('2001'!$Y$2:$Y$489,MATCH($A63,'2001'!$A$2:$A$489,0)),"")</f>
        <v/>
      </c>
      <c r="E63" s="3">
        <f>IFERROR(INDEX('2011'!$X$2:$X$490,MATCH($A63,'2011'!$A$2:$A$490,0)),"")</f>
        <v/>
      </c>
      <c r="F63" s="4">
        <f>IF(OR($D63="",$E63=""),"",$E63-$D63)</f>
        <v/>
      </c>
      <c r="G63">
        <f>IF(OR($B63="",$C63=""),"",$C63-$B63)</f>
        <v/>
      </c>
    </row>
    <row r="64">
      <c r="A64" s="2" t="n">
        <v>62</v>
      </c>
      <c r="B64">
        <f>IFERROR(INDEX('2001'!$O$2:$O$489,MATCH($A64,'2001'!$A$2:$A$489,0)),"")</f>
        <v/>
      </c>
      <c r="C64">
        <f>IFERROR(INDEX('2011'!$N$2:$N$490,MATCH($A64,'2011'!$A$2:$A$490,0)),"")</f>
        <v/>
      </c>
      <c r="D64" s="3">
        <f>IFERROR(INDEX('2001'!$Y$2:$Y$489,MATCH($A64,'2001'!$A$2:$A$489,0)),"")</f>
        <v/>
      </c>
      <c r="E64" s="3">
        <f>IFERROR(INDEX('2011'!$X$2:$X$490,MATCH($A64,'2011'!$A$2:$A$490,0)),"")</f>
        <v/>
      </c>
      <c r="F64" s="4">
        <f>IF(OR($D64="",$E64=""),"",$E64-$D64)</f>
        <v/>
      </c>
      <c r="G64">
        <f>IF(OR($B64="",$C64=""),"",$C64-$B64)</f>
        <v/>
      </c>
    </row>
    <row r="65">
      <c r="A65" s="2" t="n">
        <v>63</v>
      </c>
      <c r="B65">
        <f>IFERROR(INDEX('2001'!$O$2:$O$489,MATCH($A65,'2001'!$A$2:$A$489,0)),"")</f>
        <v/>
      </c>
      <c r="C65">
        <f>IFERROR(INDEX('2011'!$N$2:$N$490,MATCH($A65,'2011'!$A$2:$A$490,0)),"")</f>
        <v/>
      </c>
      <c r="D65" s="3">
        <f>IFERROR(INDEX('2001'!$Y$2:$Y$489,MATCH($A65,'2001'!$A$2:$A$489,0)),"")</f>
        <v/>
      </c>
      <c r="E65" s="3">
        <f>IFERROR(INDEX('2011'!$X$2:$X$490,MATCH($A65,'2011'!$A$2:$A$490,0)),"")</f>
        <v/>
      </c>
      <c r="F65" s="4">
        <f>IF(OR($D65="",$E65=""),"",$E65-$D65)</f>
        <v/>
      </c>
      <c r="G65">
        <f>IF(OR($B65="",$C65=""),"",$C65-$B65)</f>
        <v/>
      </c>
    </row>
    <row r="66">
      <c r="A66" s="2" t="n">
        <v>64</v>
      </c>
      <c r="B66">
        <f>IFERROR(INDEX('2001'!$O$2:$O$489,MATCH($A66,'2001'!$A$2:$A$489,0)),"")</f>
        <v/>
      </c>
      <c r="C66">
        <f>IFERROR(INDEX('2011'!$N$2:$N$490,MATCH($A66,'2011'!$A$2:$A$490,0)),"")</f>
        <v/>
      </c>
      <c r="D66" s="3">
        <f>IFERROR(INDEX('2001'!$Y$2:$Y$489,MATCH($A66,'2001'!$A$2:$A$489,0)),"")</f>
        <v/>
      </c>
      <c r="E66" s="3">
        <f>IFERROR(INDEX('2011'!$X$2:$X$490,MATCH($A66,'2011'!$A$2:$A$490,0)),"")</f>
        <v/>
      </c>
      <c r="F66" s="4">
        <f>IF(OR($D66="",$E66=""),"",$E66-$D66)</f>
        <v/>
      </c>
      <c r="G66">
        <f>IF(OR($B66="",$C66=""),"",$C66-$B66)</f>
        <v/>
      </c>
    </row>
    <row r="67">
      <c r="A67" s="2" t="n">
        <v>65</v>
      </c>
      <c r="B67">
        <f>IFERROR(INDEX('2001'!$O$2:$O$489,MATCH($A67,'2001'!$A$2:$A$489,0)),"")</f>
        <v/>
      </c>
      <c r="C67">
        <f>IFERROR(INDEX('2011'!$N$2:$N$490,MATCH($A67,'2011'!$A$2:$A$490,0)),"")</f>
        <v/>
      </c>
      <c r="D67" s="3">
        <f>IFERROR(INDEX('2001'!$Y$2:$Y$489,MATCH($A67,'2001'!$A$2:$A$489,0)),"")</f>
        <v/>
      </c>
      <c r="E67" s="3">
        <f>IFERROR(INDEX('2011'!$X$2:$X$490,MATCH($A67,'2011'!$A$2:$A$490,0)),"")</f>
        <v/>
      </c>
      <c r="F67" s="4">
        <f>IF(OR($D67="",$E67=""),"",$E67-$D67)</f>
        <v/>
      </c>
      <c r="G67">
        <f>IF(OR($B67="",$C67=""),"",$C67-$B67)</f>
        <v/>
      </c>
    </row>
    <row r="68">
      <c r="A68" s="2" t="n">
        <v>66</v>
      </c>
      <c r="B68">
        <f>IFERROR(INDEX('2001'!$O$2:$O$489,MATCH($A68,'2001'!$A$2:$A$489,0)),"")</f>
        <v/>
      </c>
      <c r="C68">
        <f>IFERROR(INDEX('2011'!$N$2:$N$490,MATCH($A68,'2011'!$A$2:$A$490,0)),"")</f>
        <v/>
      </c>
      <c r="D68" s="3">
        <f>IFERROR(INDEX('2001'!$Y$2:$Y$489,MATCH($A68,'2001'!$A$2:$A$489,0)),"")</f>
        <v/>
      </c>
      <c r="E68" s="3">
        <f>IFERROR(INDEX('2011'!$X$2:$X$490,MATCH($A68,'2011'!$A$2:$A$490,0)),"")</f>
        <v/>
      </c>
      <c r="F68" s="4">
        <f>IF(OR($D68="",$E68=""),"",$E68-$D68)</f>
        <v/>
      </c>
      <c r="G68">
        <f>IF(OR($B68="",$C68=""),"",$C68-$B68)</f>
        <v/>
      </c>
    </row>
    <row r="69">
      <c r="A69" s="2" t="n">
        <v>67</v>
      </c>
      <c r="B69">
        <f>IFERROR(INDEX('2001'!$O$2:$O$489,MATCH($A69,'2001'!$A$2:$A$489,0)),"")</f>
        <v/>
      </c>
      <c r="C69">
        <f>IFERROR(INDEX('2011'!$N$2:$N$490,MATCH($A69,'2011'!$A$2:$A$490,0)),"")</f>
        <v/>
      </c>
      <c r="D69" s="3">
        <f>IFERROR(INDEX('2001'!$Y$2:$Y$489,MATCH($A69,'2001'!$A$2:$A$489,0)),"")</f>
        <v/>
      </c>
      <c r="E69" s="3">
        <f>IFERROR(INDEX('2011'!$X$2:$X$490,MATCH($A69,'2011'!$A$2:$A$490,0)),"")</f>
        <v/>
      </c>
      <c r="F69" s="4">
        <f>IF(OR($D69="",$E69=""),"",$E69-$D69)</f>
        <v/>
      </c>
      <c r="G69">
        <f>IF(OR($B69="",$C69=""),"",$C69-$B69)</f>
        <v/>
      </c>
    </row>
    <row r="70">
      <c r="A70" s="2" t="n">
        <v>68</v>
      </c>
      <c r="B70">
        <f>IFERROR(INDEX('2001'!$O$2:$O$489,MATCH($A70,'2001'!$A$2:$A$489,0)),"")</f>
        <v/>
      </c>
      <c r="C70">
        <f>IFERROR(INDEX('2011'!$N$2:$N$490,MATCH($A70,'2011'!$A$2:$A$490,0)),"")</f>
        <v/>
      </c>
      <c r="D70" s="3">
        <f>IFERROR(INDEX('2001'!$Y$2:$Y$489,MATCH($A70,'2001'!$A$2:$A$489,0)),"")</f>
        <v/>
      </c>
      <c r="E70" s="3">
        <f>IFERROR(INDEX('2011'!$X$2:$X$490,MATCH($A70,'2011'!$A$2:$A$490,0)),"")</f>
        <v/>
      </c>
      <c r="F70" s="4">
        <f>IF(OR($D70="",$E70=""),"",$E70-$D70)</f>
        <v/>
      </c>
      <c r="G70">
        <f>IF(OR($B70="",$C70=""),"",$C70-$B70)</f>
        <v/>
      </c>
    </row>
    <row r="71">
      <c r="A71" s="2" t="n">
        <v>69</v>
      </c>
      <c r="B71">
        <f>IFERROR(INDEX('2001'!$O$2:$O$489,MATCH($A71,'2001'!$A$2:$A$489,0)),"")</f>
        <v/>
      </c>
      <c r="C71">
        <f>IFERROR(INDEX('2011'!$N$2:$N$490,MATCH($A71,'2011'!$A$2:$A$490,0)),"")</f>
        <v/>
      </c>
      <c r="D71" s="3">
        <f>IFERROR(INDEX('2001'!$Y$2:$Y$489,MATCH($A71,'2001'!$A$2:$A$489,0)),"")</f>
        <v/>
      </c>
      <c r="E71" s="3">
        <f>IFERROR(INDEX('2011'!$X$2:$X$490,MATCH($A71,'2011'!$A$2:$A$490,0)),"")</f>
        <v/>
      </c>
      <c r="F71" s="4">
        <f>IF(OR($D71="",$E71=""),"",$E71-$D71)</f>
        <v/>
      </c>
      <c r="G71">
        <f>IF(OR($B71="",$C71=""),"",$C71-$B71)</f>
        <v/>
      </c>
    </row>
    <row r="72">
      <c r="A72" s="2" t="n">
        <v>70</v>
      </c>
      <c r="B72">
        <f>IFERROR(INDEX('2001'!$O$2:$O$489,MATCH($A72,'2001'!$A$2:$A$489,0)),"")</f>
        <v/>
      </c>
      <c r="C72">
        <f>IFERROR(INDEX('2011'!$N$2:$N$490,MATCH($A72,'2011'!$A$2:$A$490,0)),"")</f>
        <v/>
      </c>
      <c r="D72" s="3">
        <f>IFERROR(INDEX('2001'!$Y$2:$Y$489,MATCH($A72,'2001'!$A$2:$A$489,0)),"")</f>
        <v/>
      </c>
      <c r="E72" s="3">
        <f>IFERROR(INDEX('2011'!$X$2:$X$490,MATCH($A72,'2011'!$A$2:$A$490,0)),"")</f>
        <v/>
      </c>
      <c r="F72" s="4">
        <f>IF(OR($D72="",$E72=""),"",$E72-$D72)</f>
        <v/>
      </c>
      <c r="G72">
        <f>IF(OR($B72="",$C72=""),"",$C72-$B72)</f>
        <v/>
      </c>
    </row>
    <row r="73">
      <c r="A73" s="2" t="n">
        <v>71</v>
      </c>
      <c r="B73">
        <f>IFERROR(INDEX('2001'!$O$2:$O$489,MATCH($A73,'2001'!$A$2:$A$489,0)),"")</f>
        <v/>
      </c>
      <c r="C73">
        <f>IFERROR(INDEX('2011'!$N$2:$N$490,MATCH($A73,'2011'!$A$2:$A$490,0)),"")</f>
        <v/>
      </c>
      <c r="D73" s="3">
        <f>IFERROR(INDEX('2001'!$Y$2:$Y$489,MATCH($A73,'2001'!$A$2:$A$489,0)),"")</f>
        <v/>
      </c>
      <c r="E73" s="3">
        <f>IFERROR(INDEX('2011'!$X$2:$X$490,MATCH($A73,'2011'!$A$2:$A$490,0)),"")</f>
        <v/>
      </c>
      <c r="F73" s="4">
        <f>IF(OR($D73="",$E73=""),"",$E73-$D73)</f>
        <v/>
      </c>
      <c r="G73">
        <f>IF(OR($B73="",$C73=""),"",$C73-$B73)</f>
        <v/>
      </c>
    </row>
    <row r="74">
      <c r="A74" s="2" t="n">
        <v>72</v>
      </c>
      <c r="B74">
        <f>IFERROR(INDEX('2001'!$O$2:$O$489,MATCH($A74,'2001'!$A$2:$A$489,0)),"")</f>
        <v/>
      </c>
      <c r="C74">
        <f>IFERROR(INDEX('2011'!$N$2:$N$490,MATCH($A74,'2011'!$A$2:$A$490,0)),"")</f>
        <v/>
      </c>
      <c r="D74" s="3">
        <f>IFERROR(INDEX('2001'!$Y$2:$Y$489,MATCH($A74,'2001'!$A$2:$A$489,0)),"")</f>
        <v/>
      </c>
      <c r="E74" s="3">
        <f>IFERROR(INDEX('2011'!$X$2:$X$490,MATCH($A74,'2011'!$A$2:$A$490,0)),"")</f>
        <v/>
      </c>
      <c r="F74" s="4">
        <f>IF(OR($D74="",$E74=""),"",$E74-$D74)</f>
        <v/>
      </c>
      <c r="G74">
        <f>IF(OR($B74="",$C74=""),"",$C74-$B74)</f>
        <v/>
      </c>
    </row>
    <row r="75">
      <c r="A75" s="2" t="n">
        <v>73</v>
      </c>
      <c r="B75">
        <f>IFERROR(INDEX('2001'!$O$2:$O$489,MATCH($A75,'2001'!$A$2:$A$489,0)),"")</f>
        <v/>
      </c>
      <c r="C75">
        <f>IFERROR(INDEX('2011'!$N$2:$N$490,MATCH($A75,'2011'!$A$2:$A$490,0)),"")</f>
        <v/>
      </c>
      <c r="D75" s="3">
        <f>IFERROR(INDEX('2001'!$Y$2:$Y$489,MATCH($A75,'2001'!$A$2:$A$489,0)),"")</f>
        <v/>
      </c>
      <c r="E75" s="3">
        <f>IFERROR(INDEX('2011'!$X$2:$X$490,MATCH($A75,'2011'!$A$2:$A$490,0)),"")</f>
        <v/>
      </c>
      <c r="F75" s="4">
        <f>IF(OR($D75="",$E75=""),"",$E75-$D75)</f>
        <v/>
      </c>
      <c r="G75">
        <f>IF(OR($B75="",$C75=""),"",$C75-$B75)</f>
        <v/>
      </c>
    </row>
    <row r="76">
      <c r="A76" s="2" t="n">
        <v>74</v>
      </c>
      <c r="B76">
        <f>IFERROR(INDEX('2001'!$O$2:$O$489,MATCH($A76,'2001'!$A$2:$A$489,0)),"")</f>
        <v/>
      </c>
      <c r="C76">
        <f>IFERROR(INDEX('2011'!$N$2:$N$490,MATCH($A76,'2011'!$A$2:$A$490,0)),"")</f>
        <v/>
      </c>
      <c r="D76" s="3">
        <f>IFERROR(INDEX('2001'!$Y$2:$Y$489,MATCH($A76,'2001'!$A$2:$A$489,0)),"")</f>
        <v/>
      </c>
      <c r="E76" s="3">
        <f>IFERROR(INDEX('2011'!$X$2:$X$490,MATCH($A76,'2011'!$A$2:$A$490,0)),"")</f>
        <v/>
      </c>
      <c r="F76" s="4">
        <f>IF(OR($D76="",$E76=""),"",$E76-$D76)</f>
        <v/>
      </c>
      <c r="G76">
        <f>IF(OR($B76="",$C76=""),"",$C76-$B76)</f>
        <v/>
      </c>
    </row>
    <row r="77">
      <c r="A77" s="2" t="n">
        <v>75</v>
      </c>
      <c r="B77">
        <f>IFERROR(INDEX('2001'!$O$2:$O$489,MATCH($A77,'2001'!$A$2:$A$489,0)),"")</f>
        <v/>
      </c>
      <c r="C77">
        <f>IFERROR(INDEX('2011'!$N$2:$N$490,MATCH($A77,'2011'!$A$2:$A$490,0)),"")</f>
        <v/>
      </c>
      <c r="D77" s="3">
        <f>IFERROR(INDEX('2001'!$Y$2:$Y$489,MATCH($A77,'2001'!$A$2:$A$489,0)),"")</f>
        <v/>
      </c>
      <c r="E77" s="3">
        <f>IFERROR(INDEX('2011'!$X$2:$X$490,MATCH($A77,'2011'!$A$2:$A$490,0)),"")</f>
        <v/>
      </c>
      <c r="F77" s="4">
        <f>IF(OR($D77="",$E77=""),"",$E77-$D77)</f>
        <v/>
      </c>
      <c r="G77">
        <f>IF(OR($B77="",$C77=""),"",$C77-$B77)</f>
        <v/>
      </c>
    </row>
    <row r="78">
      <c r="A78" s="2" t="n">
        <v>77</v>
      </c>
      <c r="B78">
        <f>IFERROR(INDEX('2001'!$O$2:$O$489,MATCH($A78,'2001'!$A$2:$A$489,0)),"")</f>
        <v/>
      </c>
      <c r="C78">
        <f>IFERROR(INDEX('2011'!$N$2:$N$490,MATCH($A78,'2011'!$A$2:$A$490,0)),"")</f>
        <v/>
      </c>
      <c r="D78" s="3">
        <f>IFERROR(INDEX('2001'!$Y$2:$Y$489,MATCH($A78,'2001'!$A$2:$A$489,0)),"")</f>
        <v/>
      </c>
      <c r="E78" s="3">
        <f>IFERROR(INDEX('2011'!$X$2:$X$490,MATCH($A78,'2011'!$A$2:$A$490,0)),"")</f>
        <v/>
      </c>
      <c r="F78" s="4">
        <f>IF(OR($D78="",$E78=""),"",$E78-$D78)</f>
        <v/>
      </c>
      <c r="G78">
        <f>IF(OR($B78="",$C78=""),"",$C78-$B78)</f>
        <v/>
      </c>
    </row>
    <row r="79">
      <c r="A79" s="2" t="n">
        <v>78</v>
      </c>
      <c r="B79">
        <f>IFERROR(INDEX('2001'!$O$2:$O$489,MATCH($A79,'2001'!$A$2:$A$489,0)),"")</f>
        <v/>
      </c>
      <c r="C79">
        <f>IFERROR(INDEX('2011'!$N$2:$N$490,MATCH($A79,'2011'!$A$2:$A$490,0)),"")</f>
        <v/>
      </c>
      <c r="D79" s="3">
        <f>IFERROR(INDEX('2001'!$Y$2:$Y$489,MATCH($A79,'2001'!$A$2:$A$489,0)),"")</f>
        <v/>
      </c>
      <c r="E79" s="3">
        <f>IFERROR(INDEX('2011'!$X$2:$X$490,MATCH($A79,'2011'!$A$2:$A$490,0)),"")</f>
        <v/>
      </c>
      <c r="F79" s="4">
        <f>IF(OR($D79="",$E79=""),"",$E79-$D79)</f>
        <v/>
      </c>
      <c r="G79">
        <f>IF(OR($B79="",$C79=""),"",$C79-$B79)</f>
        <v/>
      </c>
    </row>
    <row r="80">
      <c r="A80" s="2" t="n">
        <v>79</v>
      </c>
      <c r="B80">
        <f>IFERROR(INDEX('2001'!$O$2:$O$489,MATCH($A80,'2001'!$A$2:$A$489,0)),"")</f>
        <v/>
      </c>
      <c r="C80">
        <f>IFERROR(INDEX('2011'!$N$2:$N$490,MATCH($A80,'2011'!$A$2:$A$490,0)),"")</f>
        <v/>
      </c>
      <c r="D80" s="3">
        <f>IFERROR(INDEX('2001'!$Y$2:$Y$489,MATCH($A80,'2001'!$A$2:$A$489,0)),"")</f>
        <v/>
      </c>
      <c r="E80" s="3">
        <f>IFERROR(INDEX('2011'!$X$2:$X$490,MATCH($A80,'2011'!$A$2:$A$490,0)),"")</f>
        <v/>
      </c>
      <c r="F80" s="4">
        <f>IF(OR($D80="",$E80=""),"",$E80-$D80)</f>
        <v/>
      </c>
      <c r="G80">
        <f>IF(OR($B80="",$C80=""),"",$C80-$B80)</f>
        <v/>
      </c>
    </row>
    <row r="81">
      <c r="A81" s="2" t="n">
        <v>80</v>
      </c>
      <c r="B81">
        <f>IFERROR(INDEX('2001'!$O$2:$O$489,MATCH($A81,'2001'!$A$2:$A$489,0)),"")</f>
        <v/>
      </c>
      <c r="C81">
        <f>IFERROR(INDEX('2011'!$N$2:$N$490,MATCH($A81,'2011'!$A$2:$A$490,0)),"")</f>
        <v/>
      </c>
      <c r="D81" s="3">
        <f>IFERROR(INDEX('2001'!$Y$2:$Y$489,MATCH($A81,'2001'!$A$2:$A$489,0)),"")</f>
        <v/>
      </c>
      <c r="E81" s="3">
        <f>IFERROR(INDEX('2011'!$X$2:$X$490,MATCH($A81,'2011'!$A$2:$A$490,0)),"")</f>
        <v/>
      </c>
      <c r="F81" s="4">
        <f>IF(OR($D81="",$E81=""),"",$E81-$D81)</f>
        <v/>
      </c>
      <c r="G81">
        <f>IF(OR($B81="",$C81=""),"",$C81-$B81)</f>
        <v/>
      </c>
    </row>
    <row r="82">
      <c r="A82" s="2" t="n">
        <v>81</v>
      </c>
      <c r="B82">
        <f>IFERROR(INDEX('2001'!$O$2:$O$489,MATCH($A82,'2001'!$A$2:$A$489,0)),"")</f>
        <v/>
      </c>
      <c r="C82">
        <f>IFERROR(INDEX('2011'!$N$2:$N$490,MATCH($A82,'2011'!$A$2:$A$490,0)),"")</f>
        <v/>
      </c>
      <c r="D82" s="3">
        <f>IFERROR(INDEX('2001'!$Y$2:$Y$489,MATCH($A82,'2001'!$A$2:$A$489,0)),"")</f>
        <v/>
      </c>
      <c r="E82" s="3">
        <f>IFERROR(INDEX('2011'!$X$2:$X$490,MATCH($A82,'2011'!$A$2:$A$490,0)),"")</f>
        <v/>
      </c>
      <c r="F82" s="4">
        <f>IF(OR($D82="",$E82=""),"",$E82-$D82)</f>
        <v/>
      </c>
      <c r="G82">
        <f>IF(OR($B82="",$C82=""),"",$C82-$B82)</f>
        <v/>
      </c>
    </row>
    <row r="83">
      <c r="A83" s="2" t="n">
        <v>82</v>
      </c>
      <c r="B83">
        <f>IFERROR(INDEX('2001'!$O$2:$O$489,MATCH($A83,'2001'!$A$2:$A$489,0)),"")</f>
        <v/>
      </c>
      <c r="C83">
        <f>IFERROR(INDEX('2011'!$N$2:$N$490,MATCH($A83,'2011'!$A$2:$A$490,0)),"")</f>
        <v/>
      </c>
      <c r="D83" s="3">
        <f>IFERROR(INDEX('2001'!$Y$2:$Y$489,MATCH($A83,'2001'!$A$2:$A$489,0)),"")</f>
        <v/>
      </c>
      <c r="E83" s="3">
        <f>IFERROR(INDEX('2011'!$X$2:$X$490,MATCH($A83,'2011'!$A$2:$A$490,0)),"")</f>
        <v/>
      </c>
      <c r="F83" s="4">
        <f>IF(OR($D83="",$E83=""),"",$E83-$D83)</f>
        <v/>
      </c>
      <c r="G83">
        <f>IF(OR($B83="",$C83=""),"",$C83-$B83)</f>
        <v/>
      </c>
    </row>
    <row r="84">
      <c r="A84" s="2" t="n">
        <v>83</v>
      </c>
      <c r="B84">
        <f>IFERROR(INDEX('2001'!$O$2:$O$489,MATCH($A84,'2001'!$A$2:$A$489,0)),"")</f>
        <v/>
      </c>
      <c r="C84">
        <f>IFERROR(INDEX('2011'!$N$2:$N$490,MATCH($A84,'2011'!$A$2:$A$490,0)),"")</f>
        <v/>
      </c>
      <c r="D84" s="3">
        <f>IFERROR(INDEX('2001'!$Y$2:$Y$489,MATCH($A84,'2001'!$A$2:$A$489,0)),"")</f>
        <v/>
      </c>
      <c r="E84" s="3">
        <f>IFERROR(INDEX('2011'!$X$2:$X$490,MATCH($A84,'2011'!$A$2:$A$490,0)),"")</f>
        <v/>
      </c>
      <c r="F84" s="4">
        <f>IF(OR($D84="",$E84=""),"",$E84-$D84)</f>
        <v/>
      </c>
      <c r="G84">
        <f>IF(OR($B84="",$C84=""),"",$C84-$B84)</f>
        <v/>
      </c>
    </row>
    <row r="85">
      <c r="A85" s="2" t="n">
        <v>84</v>
      </c>
      <c r="B85">
        <f>IFERROR(INDEX('2001'!$O$2:$O$489,MATCH($A85,'2001'!$A$2:$A$489,0)),"")</f>
        <v/>
      </c>
      <c r="C85">
        <f>IFERROR(INDEX('2011'!$N$2:$N$490,MATCH($A85,'2011'!$A$2:$A$490,0)),"")</f>
        <v/>
      </c>
      <c r="D85" s="3">
        <f>IFERROR(INDEX('2001'!$Y$2:$Y$489,MATCH($A85,'2001'!$A$2:$A$489,0)),"")</f>
        <v/>
      </c>
      <c r="E85" s="3">
        <f>IFERROR(INDEX('2011'!$X$2:$X$490,MATCH($A85,'2011'!$A$2:$A$490,0)),"")</f>
        <v/>
      </c>
      <c r="F85" s="4">
        <f>IF(OR($D85="",$E85=""),"",$E85-$D85)</f>
        <v/>
      </c>
      <c r="G85">
        <f>IF(OR($B85="",$C85=""),"",$C85-$B85)</f>
        <v/>
      </c>
    </row>
    <row r="86">
      <c r="A86" s="2" t="n">
        <v>85</v>
      </c>
      <c r="B86">
        <f>IFERROR(INDEX('2001'!$O$2:$O$489,MATCH($A86,'2001'!$A$2:$A$489,0)),"")</f>
        <v/>
      </c>
      <c r="C86">
        <f>IFERROR(INDEX('2011'!$N$2:$N$490,MATCH($A86,'2011'!$A$2:$A$490,0)),"")</f>
        <v/>
      </c>
      <c r="D86" s="3">
        <f>IFERROR(INDEX('2001'!$Y$2:$Y$489,MATCH($A86,'2001'!$A$2:$A$489,0)),"")</f>
        <v/>
      </c>
      <c r="E86" s="3">
        <f>IFERROR(INDEX('2011'!$X$2:$X$490,MATCH($A86,'2011'!$A$2:$A$490,0)),"")</f>
        <v/>
      </c>
      <c r="F86" s="4">
        <f>IF(OR($D86="",$E86=""),"",$E86-$D86)</f>
        <v/>
      </c>
      <c r="G86">
        <f>IF(OR($B86="",$C86=""),"",$C86-$B86)</f>
        <v/>
      </c>
    </row>
    <row r="87">
      <c r="A87" s="2" t="n">
        <v>86</v>
      </c>
      <c r="B87">
        <f>IFERROR(INDEX('2001'!$O$2:$O$489,MATCH($A87,'2001'!$A$2:$A$489,0)),"")</f>
        <v/>
      </c>
      <c r="C87">
        <f>IFERROR(INDEX('2011'!$N$2:$N$490,MATCH($A87,'2011'!$A$2:$A$490,0)),"")</f>
        <v/>
      </c>
      <c r="D87" s="3">
        <f>IFERROR(INDEX('2001'!$Y$2:$Y$489,MATCH($A87,'2001'!$A$2:$A$489,0)),"")</f>
        <v/>
      </c>
      <c r="E87" s="3">
        <f>IFERROR(INDEX('2011'!$X$2:$X$490,MATCH($A87,'2011'!$A$2:$A$490,0)),"")</f>
        <v/>
      </c>
      <c r="F87" s="4">
        <f>IF(OR($D87="",$E87=""),"",$E87-$D87)</f>
        <v/>
      </c>
      <c r="G87">
        <f>IF(OR($B87="",$C87=""),"",$C87-$B87)</f>
        <v/>
      </c>
    </row>
    <row r="88">
      <c r="A88" s="2" t="n">
        <v>87</v>
      </c>
      <c r="B88">
        <f>IFERROR(INDEX('2001'!$O$2:$O$489,MATCH($A88,'2001'!$A$2:$A$489,0)),"")</f>
        <v/>
      </c>
      <c r="C88">
        <f>IFERROR(INDEX('2011'!$N$2:$N$490,MATCH($A88,'2011'!$A$2:$A$490,0)),"")</f>
        <v/>
      </c>
      <c r="D88" s="3">
        <f>IFERROR(INDEX('2001'!$Y$2:$Y$489,MATCH($A88,'2001'!$A$2:$A$489,0)),"")</f>
        <v/>
      </c>
      <c r="E88" s="3">
        <f>IFERROR(INDEX('2011'!$X$2:$X$490,MATCH($A88,'2011'!$A$2:$A$490,0)),"")</f>
        <v/>
      </c>
      <c r="F88" s="4">
        <f>IF(OR($D88="",$E88=""),"",$E88-$D88)</f>
        <v/>
      </c>
      <c r="G88">
        <f>IF(OR($B88="",$C88=""),"",$C88-$B88)</f>
        <v/>
      </c>
    </row>
    <row r="89">
      <c r="A89" s="2" t="n">
        <v>88</v>
      </c>
      <c r="B89">
        <f>IFERROR(INDEX('2001'!$O$2:$O$489,MATCH($A89,'2001'!$A$2:$A$489,0)),"")</f>
        <v/>
      </c>
      <c r="C89">
        <f>IFERROR(INDEX('2011'!$N$2:$N$490,MATCH($A89,'2011'!$A$2:$A$490,0)),"")</f>
        <v/>
      </c>
      <c r="D89" s="3">
        <f>IFERROR(INDEX('2001'!$Y$2:$Y$489,MATCH($A89,'2001'!$A$2:$A$489,0)),"")</f>
        <v/>
      </c>
      <c r="E89" s="3">
        <f>IFERROR(INDEX('2011'!$X$2:$X$490,MATCH($A89,'2011'!$A$2:$A$490,0)),"")</f>
        <v/>
      </c>
      <c r="F89" s="4">
        <f>IF(OR($D89="",$E89=""),"",$E89-$D89)</f>
        <v/>
      </c>
      <c r="G89">
        <f>IF(OR($B89="",$C89=""),"",$C89-$B89)</f>
        <v/>
      </c>
    </row>
    <row r="90">
      <c r="A90" s="2" t="n">
        <v>89</v>
      </c>
      <c r="B90">
        <f>IFERROR(INDEX('2001'!$O$2:$O$489,MATCH($A90,'2001'!$A$2:$A$489,0)),"")</f>
        <v/>
      </c>
      <c r="C90">
        <f>IFERROR(INDEX('2011'!$N$2:$N$490,MATCH($A90,'2011'!$A$2:$A$490,0)),"")</f>
        <v/>
      </c>
      <c r="D90" s="3">
        <f>IFERROR(INDEX('2001'!$Y$2:$Y$489,MATCH($A90,'2001'!$A$2:$A$489,0)),"")</f>
        <v/>
      </c>
      <c r="E90" s="3">
        <f>IFERROR(INDEX('2011'!$X$2:$X$490,MATCH($A90,'2011'!$A$2:$A$490,0)),"")</f>
        <v/>
      </c>
      <c r="F90" s="4">
        <f>IF(OR($D90="",$E90=""),"",$E90-$D90)</f>
        <v/>
      </c>
      <c r="G90">
        <f>IF(OR($B90="",$C90=""),"",$C90-$B90)</f>
        <v/>
      </c>
    </row>
    <row r="91">
      <c r="A91" s="2" t="n">
        <v>90</v>
      </c>
      <c r="B91">
        <f>IFERROR(INDEX('2001'!$O$2:$O$489,MATCH($A91,'2001'!$A$2:$A$489,0)),"")</f>
        <v/>
      </c>
      <c r="C91">
        <f>IFERROR(INDEX('2011'!$N$2:$N$490,MATCH($A91,'2011'!$A$2:$A$490,0)),"")</f>
        <v/>
      </c>
      <c r="D91" s="3">
        <f>IFERROR(INDEX('2001'!$Y$2:$Y$489,MATCH($A91,'2001'!$A$2:$A$489,0)),"")</f>
        <v/>
      </c>
      <c r="E91" s="3">
        <f>IFERROR(INDEX('2011'!$X$2:$X$490,MATCH($A91,'2011'!$A$2:$A$490,0)),"")</f>
        <v/>
      </c>
      <c r="F91" s="4">
        <f>IF(OR($D91="",$E91=""),"",$E91-$D91)</f>
        <v/>
      </c>
      <c r="G91">
        <f>IF(OR($B91="",$C91=""),"",$C91-$B91)</f>
        <v/>
      </c>
    </row>
    <row r="92">
      <c r="A92" s="2" t="n">
        <v>91</v>
      </c>
      <c r="B92">
        <f>IFERROR(INDEX('2001'!$O$2:$O$489,MATCH($A92,'2001'!$A$2:$A$489,0)),"")</f>
        <v/>
      </c>
      <c r="C92">
        <f>IFERROR(INDEX('2011'!$N$2:$N$490,MATCH($A92,'2011'!$A$2:$A$490,0)),"")</f>
        <v/>
      </c>
      <c r="D92" s="3">
        <f>IFERROR(INDEX('2001'!$Y$2:$Y$489,MATCH($A92,'2001'!$A$2:$A$489,0)),"")</f>
        <v/>
      </c>
      <c r="E92" s="3">
        <f>IFERROR(INDEX('2011'!$X$2:$X$490,MATCH($A92,'2011'!$A$2:$A$490,0)),"")</f>
        <v/>
      </c>
      <c r="F92" s="4">
        <f>IF(OR($D92="",$E92=""),"",$E92-$D92)</f>
        <v/>
      </c>
      <c r="G92">
        <f>IF(OR($B92="",$C92=""),"",$C92-$B92)</f>
        <v/>
      </c>
    </row>
    <row r="93">
      <c r="A93" s="2" t="n">
        <v>92</v>
      </c>
      <c r="B93">
        <f>IFERROR(INDEX('2001'!$O$2:$O$489,MATCH($A93,'2001'!$A$2:$A$489,0)),"")</f>
        <v/>
      </c>
      <c r="C93">
        <f>IFERROR(INDEX('2011'!$N$2:$N$490,MATCH($A93,'2011'!$A$2:$A$490,0)),"")</f>
        <v/>
      </c>
      <c r="D93" s="3">
        <f>IFERROR(INDEX('2001'!$Y$2:$Y$489,MATCH($A93,'2001'!$A$2:$A$489,0)),"")</f>
        <v/>
      </c>
      <c r="E93" s="3">
        <f>IFERROR(INDEX('2011'!$X$2:$X$490,MATCH($A93,'2011'!$A$2:$A$490,0)),"")</f>
        <v/>
      </c>
      <c r="F93" s="4">
        <f>IF(OR($D93="",$E93=""),"",$E93-$D93)</f>
        <v/>
      </c>
      <c r="G93">
        <f>IF(OR($B93="",$C93=""),"",$C93-$B93)</f>
        <v/>
      </c>
    </row>
    <row r="94">
      <c r="A94" s="2" t="n">
        <v>93</v>
      </c>
      <c r="B94">
        <f>IFERROR(INDEX('2001'!$O$2:$O$489,MATCH($A94,'2001'!$A$2:$A$489,0)),"")</f>
        <v/>
      </c>
      <c r="C94">
        <f>IFERROR(INDEX('2011'!$N$2:$N$490,MATCH($A94,'2011'!$A$2:$A$490,0)),"")</f>
        <v/>
      </c>
      <c r="D94" s="3">
        <f>IFERROR(INDEX('2001'!$Y$2:$Y$489,MATCH($A94,'2001'!$A$2:$A$489,0)),"")</f>
        <v/>
      </c>
      <c r="E94" s="3">
        <f>IFERROR(INDEX('2011'!$X$2:$X$490,MATCH($A94,'2011'!$A$2:$A$490,0)),"")</f>
        <v/>
      </c>
      <c r="F94" s="4">
        <f>IF(OR($D94="",$E94=""),"",$E94-$D94)</f>
        <v/>
      </c>
      <c r="G94">
        <f>IF(OR($B94="",$C94=""),"",$C94-$B94)</f>
        <v/>
      </c>
    </row>
    <row r="95">
      <c r="A95" s="2" t="n">
        <v>94</v>
      </c>
      <c r="B95">
        <f>IFERROR(INDEX('2001'!$O$2:$O$489,MATCH($A95,'2001'!$A$2:$A$489,0)),"")</f>
        <v/>
      </c>
      <c r="C95">
        <f>IFERROR(INDEX('2011'!$N$2:$N$490,MATCH($A95,'2011'!$A$2:$A$490,0)),"")</f>
        <v/>
      </c>
      <c r="D95" s="3">
        <f>IFERROR(INDEX('2001'!$Y$2:$Y$489,MATCH($A95,'2001'!$A$2:$A$489,0)),"")</f>
        <v/>
      </c>
      <c r="E95" s="3">
        <f>IFERROR(INDEX('2011'!$X$2:$X$490,MATCH($A95,'2011'!$A$2:$A$490,0)),"")</f>
        <v/>
      </c>
      <c r="F95" s="4">
        <f>IF(OR($D95="",$E95=""),"",$E95-$D95)</f>
        <v/>
      </c>
      <c r="G95">
        <f>IF(OR($B95="",$C95=""),"",$C95-$B95)</f>
        <v/>
      </c>
    </row>
    <row r="96">
      <c r="A96" s="2" t="n">
        <v>95</v>
      </c>
      <c r="B96">
        <f>IFERROR(INDEX('2001'!$O$2:$O$489,MATCH($A96,'2001'!$A$2:$A$489,0)),"")</f>
        <v/>
      </c>
      <c r="C96">
        <f>IFERROR(INDEX('2011'!$N$2:$N$490,MATCH($A96,'2011'!$A$2:$A$490,0)),"")</f>
        <v/>
      </c>
      <c r="D96" s="3">
        <f>IFERROR(INDEX('2001'!$Y$2:$Y$489,MATCH($A96,'2001'!$A$2:$A$489,0)),"")</f>
        <v/>
      </c>
      <c r="E96" s="3">
        <f>IFERROR(INDEX('2011'!$X$2:$X$490,MATCH($A96,'2011'!$A$2:$A$490,0)),"")</f>
        <v/>
      </c>
      <c r="F96" s="4">
        <f>IF(OR($D96="",$E96=""),"",$E96-$D96)</f>
        <v/>
      </c>
      <c r="G96">
        <f>IF(OR($B96="",$C96=""),"",$C96-$B96)</f>
        <v/>
      </c>
    </row>
    <row r="97">
      <c r="A97" s="2" t="n">
        <v>96</v>
      </c>
      <c r="B97">
        <f>IFERROR(INDEX('2001'!$O$2:$O$489,MATCH($A97,'2001'!$A$2:$A$489,0)),"")</f>
        <v/>
      </c>
      <c r="C97">
        <f>IFERROR(INDEX('2011'!$N$2:$N$490,MATCH($A97,'2011'!$A$2:$A$490,0)),"")</f>
        <v/>
      </c>
      <c r="D97" s="3">
        <f>IFERROR(INDEX('2001'!$Y$2:$Y$489,MATCH($A97,'2001'!$A$2:$A$489,0)),"")</f>
        <v/>
      </c>
      <c r="E97" s="3">
        <f>IFERROR(INDEX('2011'!$X$2:$X$490,MATCH($A97,'2011'!$A$2:$A$490,0)),"")</f>
        <v/>
      </c>
      <c r="F97" s="4">
        <f>IF(OR($D97="",$E97=""),"",$E97-$D97)</f>
        <v/>
      </c>
      <c r="G97">
        <f>IF(OR($B97="",$C97=""),"",$C97-$B97)</f>
        <v/>
      </c>
    </row>
    <row r="98">
      <c r="A98" s="2" t="n">
        <v>97</v>
      </c>
      <c r="B98">
        <f>IFERROR(INDEX('2001'!$O$2:$O$489,MATCH($A98,'2001'!$A$2:$A$489,0)),"")</f>
        <v/>
      </c>
      <c r="C98">
        <f>IFERROR(INDEX('2011'!$N$2:$N$490,MATCH($A98,'2011'!$A$2:$A$490,0)),"")</f>
        <v/>
      </c>
      <c r="D98" s="3">
        <f>IFERROR(INDEX('2001'!$Y$2:$Y$489,MATCH($A98,'2001'!$A$2:$A$489,0)),"")</f>
        <v/>
      </c>
      <c r="E98" s="3">
        <f>IFERROR(INDEX('2011'!$X$2:$X$490,MATCH($A98,'2011'!$A$2:$A$490,0)),"")</f>
        <v/>
      </c>
      <c r="F98" s="4">
        <f>IF(OR($D98="",$E98=""),"",$E98-$D98)</f>
        <v/>
      </c>
      <c r="G98">
        <f>IF(OR($B98="",$C98=""),"",$C98-$B98)</f>
        <v/>
      </c>
    </row>
    <row r="99">
      <c r="A99" s="2" t="n">
        <v>98</v>
      </c>
      <c r="B99">
        <f>IFERROR(INDEX('2001'!$O$2:$O$489,MATCH($A99,'2001'!$A$2:$A$489,0)),"")</f>
        <v/>
      </c>
      <c r="C99">
        <f>IFERROR(INDEX('2011'!$N$2:$N$490,MATCH($A99,'2011'!$A$2:$A$490,0)),"")</f>
        <v/>
      </c>
      <c r="D99" s="3">
        <f>IFERROR(INDEX('2001'!$Y$2:$Y$489,MATCH($A99,'2001'!$A$2:$A$489,0)),"")</f>
        <v/>
      </c>
      <c r="E99" s="3">
        <f>IFERROR(INDEX('2011'!$X$2:$X$490,MATCH($A99,'2011'!$A$2:$A$490,0)),"")</f>
        <v/>
      </c>
      <c r="F99" s="4">
        <f>IF(OR($D99="",$E99=""),"",$E99-$D99)</f>
        <v/>
      </c>
      <c r="G99">
        <f>IF(OR($B99="",$C99=""),"",$C99-$B99)</f>
        <v/>
      </c>
    </row>
    <row r="100">
      <c r="A100" s="2" t="n">
        <v>99</v>
      </c>
      <c r="B100">
        <f>IFERROR(INDEX('2001'!$O$2:$O$489,MATCH($A100,'2001'!$A$2:$A$489,0)),"")</f>
        <v/>
      </c>
      <c r="C100">
        <f>IFERROR(INDEX('2011'!$N$2:$N$490,MATCH($A100,'2011'!$A$2:$A$490,0)),"")</f>
        <v/>
      </c>
      <c r="D100" s="3">
        <f>IFERROR(INDEX('2001'!$Y$2:$Y$489,MATCH($A100,'2001'!$A$2:$A$489,0)),"")</f>
        <v/>
      </c>
      <c r="E100" s="3">
        <f>IFERROR(INDEX('2011'!$X$2:$X$490,MATCH($A100,'2011'!$A$2:$A$490,0)),"")</f>
        <v/>
      </c>
      <c r="F100" s="4">
        <f>IF(OR($D100="",$E100=""),"",$E100-$D100)</f>
        <v/>
      </c>
      <c r="G100">
        <f>IF(OR($B100="",$C100=""),"",$C100-$B100)</f>
        <v/>
      </c>
    </row>
    <row r="101">
      <c r="A101" s="2" t="n">
        <v>100</v>
      </c>
      <c r="B101">
        <f>IFERROR(INDEX('2001'!$O$2:$O$489,MATCH($A101,'2001'!$A$2:$A$489,0)),"")</f>
        <v/>
      </c>
      <c r="C101">
        <f>IFERROR(INDEX('2011'!$N$2:$N$490,MATCH($A101,'2011'!$A$2:$A$490,0)),"")</f>
        <v/>
      </c>
      <c r="D101" s="3">
        <f>IFERROR(INDEX('2001'!$Y$2:$Y$489,MATCH($A101,'2001'!$A$2:$A$489,0)),"")</f>
        <v/>
      </c>
      <c r="E101" s="3">
        <f>IFERROR(INDEX('2011'!$X$2:$X$490,MATCH($A101,'2011'!$A$2:$A$490,0)),"")</f>
        <v/>
      </c>
      <c r="F101" s="4">
        <f>IF(OR($D101="",$E101=""),"",$E101-$D101)</f>
        <v/>
      </c>
      <c r="G101">
        <f>IF(OR($B101="",$C101=""),"",$C101-$B101)</f>
        <v/>
      </c>
    </row>
    <row r="102">
      <c r="A102" s="2" t="n">
        <v>101</v>
      </c>
      <c r="B102">
        <f>IFERROR(INDEX('2001'!$O$2:$O$489,MATCH($A102,'2001'!$A$2:$A$489,0)),"")</f>
        <v/>
      </c>
      <c r="C102">
        <f>IFERROR(INDEX('2011'!$N$2:$N$490,MATCH($A102,'2011'!$A$2:$A$490,0)),"")</f>
        <v/>
      </c>
      <c r="D102" s="3">
        <f>IFERROR(INDEX('2001'!$Y$2:$Y$489,MATCH($A102,'2001'!$A$2:$A$489,0)),"")</f>
        <v/>
      </c>
      <c r="E102" s="3">
        <f>IFERROR(INDEX('2011'!$X$2:$X$490,MATCH($A102,'2011'!$A$2:$A$490,0)),"")</f>
        <v/>
      </c>
      <c r="F102" s="4">
        <f>IF(OR($D102="",$E102=""),"",$E102-$D102)</f>
        <v/>
      </c>
      <c r="G102">
        <f>IF(OR($B102="",$C102=""),"",$C102-$B102)</f>
        <v/>
      </c>
    </row>
    <row r="103">
      <c r="A103" s="2" t="n">
        <v>102</v>
      </c>
      <c r="B103">
        <f>IFERROR(INDEX('2001'!$O$2:$O$489,MATCH($A103,'2001'!$A$2:$A$489,0)),"")</f>
        <v/>
      </c>
      <c r="C103">
        <f>IFERROR(INDEX('2011'!$N$2:$N$490,MATCH($A103,'2011'!$A$2:$A$490,0)),"")</f>
        <v/>
      </c>
      <c r="D103" s="3">
        <f>IFERROR(INDEX('2001'!$Y$2:$Y$489,MATCH($A103,'2001'!$A$2:$A$489,0)),"")</f>
        <v/>
      </c>
      <c r="E103" s="3">
        <f>IFERROR(INDEX('2011'!$X$2:$X$490,MATCH($A103,'2011'!$A$2:$A$490,0)),"")</f>
        <v/>
      </c>
      <c r="F103" s="4">
        <f>IF(OR($D103="",$E103=""),"",$E103-$D103)</f>
        <v/>
      </c>
      <c r="G103">
        <f>IF(OR($B103="",$C103=""),"",$C103-$B103)</f>
        <v/>
      </c>
    </row>
    <row r="104">
      <c r="A104" s="2" t="n">
        <v>103</v>
      </c>
      <c r="B104">
        <f>IFERROR(INDEX('2001'!$O$2:$O$489,MATCH($A104,'2001'!$A$2:$A$489,0)),"")</f>
        <v/>
      </c>
      <c r="C104">
        <f>IFERROR(INDEX('2011'!$N$2:$N$490,MATCH($A104,'2011'!$A$2:$A$490,0)),"")</f>
        <v/>
      </c>
      <c r="D104" s="3">
        <f>IFERROR(INDEX('2001'!$Y$2:$Y$489,MATCH($A104,'2001'!$A$2:$A$489,0)),"")</f>
        <v/>
      </c>
      <c r="E104" s="3">
        <f>IFERROR(INDEX('2011'!$X$2:$X$490,MATCH($A104,'2011'!$A$2:$A$490,0)),"")</f>
        <v/>
      </c>
      <c r="F104" s="4">
        <f>IF(OR($D104="",$E104=""),"",$E104-$D104)</f>
        <v/>
      </c>
      <c r="G104">
        <f>IF(OR($B104="",$C104=""),"",$C104-$B104)</f>
        <v/>
      </c>
    </row>
    <row r="105">
      <c r="A105" s="2" t="n">
        <v>104</v>
      </c>
      <c r="B105">
        <f>IFERROR(INDEX('2001'!$O$2:$O$489,MATCH($A105,'2001'!$A$2:$A$489,0)),"")</f>
        <v/>
      </c>
      <c r="C105">
        <f>IFERROR(INDEX('2011'!$N$2:$N$490,MATCH($A105,'2011'!$A$2:$A$490,0)),"")</f>
        <v/>
      </c>
      <c r="D105" s="3">
        <f>IFERROR(INDEX('2001'!$Y$2:$Y$489,MATCH($A105,'2001'!$A$2:$A$489,0)),"")</f>
        <v/>
      </c>
      <c r="E105" s="3">
        <f>IFERROR(INDEX('2011'!$X$2:$X$490,MATCH($A105,'2011'!$A$2:$A$490,0)),"")</f>
        <v/>
      </c>
      <c r="F105" s="4">
        <f>IF(OR($D105="",$E105=""),"",$E105-$D105)</f>
        <v/>
      </c>
      <c r="G105">
        <f>IF(OR($B105="",$C105=""),"",$C105-$B105)</f>
        <v/>
      </c>
    </row>
    <row r="106">
      <c r="A106" s="2" t="n">
        <v>105</v>
      </c>
      <c r="B106">
        <f>IFERROR(INDEX('2001'!$O$2:$O$489,MATCH($A106,'2001'!$A$2:$A$489,0)),"")</f>
        <v/>
      </c>
      <c r="C106">
        <f>IFERROR(INDEX('2011'!$N$2:$N$490,MATCH($A106,'2011'!$A$2:$A$490,0)),"")</f>
        <v/>
      </c>
      <c r="D106" s="3">
        <f>IFERROR(INDEX('2001'!$Y$2:$Y$489,MATCH($A106,'2001'!$A$2:$A$489,0)),"")</f>
        <v/>
      </c>
      <c r="E106" s="3">
        <f>IFERROR(INDEX('2011'!$X$2:$X$490,MATCH($A106,'2011'!$A$2:$A$490,0)),"")</f>
        <v/>
      </c>
      <c r="F106" s="4">
        <f>IF(OR($D106="",$E106=""),"",$E106-$D106)</f>
        <v/>
      </c>
      <c r="G106">
        <f>IF(OR($B106="",$C106=""),"",$C106-$B106)</f>
        <v/>
      </c>
    </row>
    <row r="107">
      <c r="A107" s="2" t="n">
        <v>106</v>
      </c>
      <c r="B107">
        <f>IFERROR(INDEX('2001'!$O$2:$O$489,MATCH($A107,'2001'!$A$2:$A$489,0)),"")</f>
        <v/>
      </c>
      <c r="C107">
        <f>IFERROR(INDEX('2011'!$N$2:$N$490,MATCH($A107,'2011'!$A$2:$A$490,0)),"")</f>
        <v/>
      </c>
      <c r="D107" s="3">
        <f>IFERROR(INDEX('2001'!$Y$2:$Y$489,MATCH($A107,'2001'!$A$2:$A$489,0)),"")</f>
        <v/>
      </c>
      <c r="E107" s="3">
        <f>IFERROR(INDEX('2011'!$X$2:$X$490,MATCH($A107,'2011'!$A$2:$A$490,0)),"")</f>
        <v/>
      </c>
      <c r="F107" s="4">
        <f>IF(OR($D107="",$E107=""),"",$E107-$D107)</f>
        <v/>
      </c>
      <c r="G107">
        <f>IF(OR($B107="",$C107=""),"",$C107-$B107)</f>
        <v/>
      </c>
    </row>
    <row r="108">
      <c r="A108" s="2" t="n">
        <v>107</v>
      </c>
      <c r="B108">
        <f>IFERROR(INDEX('2001'!$O$2:$O$489,MATCH($A108,'2001'!$A$2:$A$489,0)),"")</f>
        <v/>
      </c>
      <c r="C108">
        <f>IFERROR(INDEX('2011'!$N$2:$N$490,MATCH($A108,'2011'!$A$2:$A$490,0)),"")</f>
        <v/>
      </c>
      <c r="D108" s="3">
        <f>IFERROR(INDEX('2001'!$Y$2:$Y$489,MATCH($A108,'2001'!$A$2:$A$489,0)),"")</f>
        <v/>
      </c>
      <c r="E108" s="3">
        <f>IFERROR(INDEX('2011'!$X$2:$X$490,MATCH($A108,'2011'!$A$2:$A$490,0)),"")</f>
        <v/>
      </c>
      <c r="F108" s="4">
        <f>IF(OR($D108="",$E108=""),"",$E108-$D108)</f>
        <v/>
      </c>
      <c r="G108">
        <f>IF(OR($B108="",$C108=""),"",$C108-$B108)</f>
        <v/>
      </c>
    </row>
    <row r="109">
      <c r="A109" s="2" t="n">
        <v>108</v>
      </c>
      <c r="B109">
        <f>IFERROR(INDEX('2001'!$O$2:$O$489,MATCH($A109,'2001'!$A$2:$A$489,0)),"")</f>
        <v/>
      </c>
      <c r="C109">
        <f>IFERROR(INDEX('2011'!$N$2:$N$490,MATCH($A109,'2011'!$A$2:$A$490,0)),"")</f>
        <v/>
      </c>
      <c r="D109" s="3">
        <f>IFERROR(INDEX('2001'!$Y$2:$Y$489,MATCH($A109,'2001'!$A$2:$A$489,0)),"")</f>
        <v/>
      </c>
      <c r="E109" s="3">
        <f>IFERROR(INDEX('2011'!$X$2:$X$490,MATCH($A109,'2011'!$A$2:$A$490,0)),"")</f>
        <v/>
      </c>
      <c r="F109" s="4">
        <f>IF(OR($D109="",$E109=""),"",$E109-$D109)</f>
        <v/>
      </c>
      <c r="G109">
        <f>IF(OR($B109="",$C109=""),"",$C109-$B109)</f>
        <v/>
      </c>
    </row>
    <row r="110">
      <c r="A110" s="2" t="n">
        <v>109</v>
      </c>
      <c r="B110">
        <f>IFERROR(INDEX('2001'!$O$2:$O$489,MATCH($A110,'2001'!$A$2:$A$489,0)),"")</f>
        <v/>
      </c>
      <c r="C110">
        <f>IFERROR(INDEX('2011'!$N$2:$N$490,MATCH($A110,'2011'!$A$2:$A$490,0)),"")</f>
        <v/>
      </c>
      <c r="D110" s="3">
        <f>IFERROR(INDEX('2001'!$Y$2:$Y$489,MATCH($A110,'2001'!$A$2:$A$489,0)),"")</f>
        <v/>
      </c>
      <c r="E110" s="3">
        <f>IFERROR(INDEX('2011'!$X$2:$X$490,MATCH($A110,'2011'!$A$2:$A$490,0)),"")</f>
        <v/>
      </c>
      <c r="F110" s="4">
        <f>IF(OR($D110="",$E110=""),"",$E110-$D110)</f>
        <v/>
      </c>
      <c r="G110">
        <f>IF(OR($B110="",$C110=""),"",$C110-$B110)</f>
        <v/>
      </c>
    </row>
    <row r="111">
      <c r="A111" s="2" t="n">
        <v>110</v>
      </c>
      <c r="B111">
        <f>IFERROR(INDEX('2001'!$O$2:$O$489,MATCH($A111,'2001'!$A$2:$A$489,0)),"")</f>
        <v/>
      </c>
      <c r="C111">
        <f>IFERROR(INDEX('2011'!$N$2:$N$490,MATCH($A111,'2011'!$A$2:$A$490,0)),"")</f>
        <v/>
      </c>
      <c r="D111" s="3">
        <f>IFERROR(INDEX('2001'!$Y$2:$Y$489,MATCH($A111,'2001'!$A$2:$A$489,0)),"")</f>
        <v/>
      </c>
      <c r="E111" s="3">
        <f>IFERROR(INDEX('2011'!$X$2:$X$490,MATCH($A111,'2011'!$A$2:$A$490,0)),"")</f>
        <v/>
      </c>
      <c r="F111" s="4">
        <f>IF(OR($D111="",$E111=""),"",$E111-$D111)</f>
        <v/>
      </c>
      <c r="G111">
        <f>IF(OR($B111="",$C111=""),"",$C111-$B111)</f>
        <v/>
      </c>
    </row>
    <row r="112">
      <c r="A112" s="2" t="n">
        <v>111</v>
      </c>
      <c r="B112">
        <f>IFERROR(INDEX('2001'!$O$2:$O$489,MATCH($A112,'2001'!$A$2:$A$489,0)),"")</f>
        <v/>
      </c>
      <c r="C112">
        <f>IFERROR(INDEX('2011'!$N$2:$N$490,MATCH($A112,'2011'!$A$2:$A$490,0)),"")</f>
        <v/>
      </c>
      <c r="D112" s="3">
        <f>IFERROR(INDEX('2001'!$Y$2:$Y$489,MATCH($A112,'2001'!$A$2:$A$489,0)),"")</f>
        <v/>
      </c>
      <c r="E112" s="3">
        <f>IFERROR(INDEX('2011'!$X$2:$X$490,MATCH($A112,'2011'!$A$2:$A$490,0)),"")</f>
        <v/>
      </c>
      <c r="F112" s="4">
        <f>IF(OR($D112="",$E112=""),"",$E112-$D112)</f>
        <v/>
      </c>
      <c r="G112">
        <f>IF(OR($B112="",$C112=""),"",$C112-$B112)</f>
        <v/>
      </c>
    </row>
    <row r="113">
      <c r="A113" s="2" t="n">
        <v>112</v>
      </c>
      <c r="B113">
        <f>IFERROR(INDEX('2001'!$O$2:$O$489,MATCH($A113,'2001'!$A$2:$A$489,0)),"")</f>
        <v/>
      </c>
      <c r="C113">
        <f>IFERROR(INDEX('2011'!$N$2:$N$490,MATCH($A113,'2011'!$A$2:$A$490,0)),"")</f>
        <v/>
      </c>
      <c r="D113" s="3">
        <f>IFERROR(INDEX('2001'!$Y$2:$Y$489,MATCH($A113,'2001'!$A$2:$A$489,0)),"")</f>
        <v/>
      </c>
      <c r="E113" s="3">
        <f>IFERROR(INDEX('2011'!$X$2:$X$490,MATCH($A113,'2011'!$A$2:$A$490,0)),"")</f>
        <v/>
      </c>
      <c r="F113" s="4">
        <f>IF(OR($D113="",$E113=""),"",$E113-$D113)</f>
        <v/>
      </c>
      <c r="G113">
        <f>IF(OR($B113="",$C113=""),"",$C113-$B113)</f>
        <v/>
      </c>
    </row>
    <row r="114">
      <c r="A114" s="2" t="n">
        <v>113</v>
      </c>
      <c r="B114">
        <f>IFERROR(INDEX('2001'!$O$2:$O$489,MATCH($A114,'2001'!$A$2:$A$489,0)),"")</f>
        <v/>
      </c>
      <c r="C114">
        <f>IFERROR(INDEX('2011'!$N$2:$N$490,MATCH($A114,'2011'!$A$2:$A$490,0)),"")</f>
        <v/>
      </c>
      <c r="D114" s="3">
        <f>IFERROR(INDEX('2001'!$Y$2:$Y$489,MATCH($A114,'2001'!$A$2:$A$489,0)),"")</f>
        <v/>
      </c>
      <c r="E114" s="3">
        <f>IFERROR(INDEX('2011'!$X$2:$X$490,MATCH($A114,'2011'!$A$2:$A$490,0)),"")</f>
        <v/>
      </c>
      <c r="F114" s="4">
        <f>IF(OR($D114="",$E114=""),"",$E114-$D114)</f>
        <v/>
      </c>
      <c r="G114">
        <f>IF(OR($B114="",$C114=""),"",$C114-$B114)</f>
        <v/>
      </c>
    </row>
    <row r="115">
      <c r="A115" s="2" t="n">
        <v>114</v>
      </c>
      <c r="B115">
        <f>IFERROR(INDEX('2001'!$O$2:$O$489,MATCH($A115,'2001'!$A$2:$A$489,0)),"")</f>
        <v/>
      </c>
      <c r="C115">
        <f>IFERROR(INDEX('2011'!$N$2:$N$490,MATCH($A115,'2011'!$A$2:$A$490,0)),"")</f>
        <v/>
      </c>
      <c r="D115" s="3">
        <f>IFERROR(INDEX('2001'!$Y$2:$Y$489,MATCH($A115,'2001'!$A$2:$A$489,0)),"")</f>
        <v/>
      </c>
      <c r="E115" s="3">
        <f>IFERROR(INDEX('2011'!$X$2:$X$490,MATCH($A115,'2011'!$A$2:$A$490,0)),"")</f>
        <v/>
      </c>
      <c r="F115" s="4">
        <f>IF(OR($D115="",$E115=""),"",$E115-$D115)</f>
        <v/>
      </c>
      <c r="G115">
        <f>IF(OR($B115="",$C115=""),"",$C115-$B115)</f>
        <v/>
      </c>
    </row>
    <row r="116">
      <c r="A116" s="2" t="n">
        <v>115</v>
      </c>
      <c r="B116">
        <f>IFERROR(INDEX('2001'!$O$2:$O$489,MATCH($A116,'2001'!$A$2:$A$489,0)),"")</f>
        <v/>
      </c>
      <c r="C116">
        <f>IFERROR(INDEX('2011'!$N$2:$N$490,MATCH($A116,'2011'!$A$2:$A$490,0)),"")</f>
        <v/>
      </c>
      <c r="D116" s="3">
        <f>IFERROR(INDEX('2001'!$Y$2:$Y$489,MATCH($A116,'2001'!$A$2:$A$489,0)),"")</f>
        <v/>
      </c>
      <c r="E116" s="3">
        <f>IFERROR(INDEX('2011'!$X$2:$X$490,MATCH($A116,'2011'!$A$2:$A$490,0)),"")</f>
        <v/>
      </c>
      <c r="F116" s="4">
        <f>IF(OR($D116="",$E116=""),"",$E116-$D116)</f>
        <v/>
      </c>
      <c r="G116">
        <f>IF(OR($B116="",$C116=""),"",$C116-$B116)</f>
        <v/>
      </c>
    </row>
    <row r="117">
      <c r="A117" s="2" t="n">
        <v>116</v>
      </c>
      <c r="B117">
        <f>IFERROR(INDEX('2001'!$O$2:$O$489,MATCH($A117,'2001'!$A$2:$A$489,0)),"")</f>
        <v/>
      </c>
      <c r="C117">
        <f>IFERROR(INDEX('2011'!$N$2:$N$490,MATCH($A117,'2011'!$A$2:$A$490,0)),"")</f>
        <v/>
      </c>
      <c r="D117" s="3">
        <f>IFERROR(INDEX('2001'!$Y$2:$Y$489,MATCH($A117,'2001'!$A$2:$A$489,0)),"")</f>
        <v/>
      </c>
      <c r="E117" s="3">
        <f>IFERROR(INDEX('2011'!$X$2:$X$490,MATCH($A117,'2011'!$A$2:$A$490,0)),"")</f>
        <v/>
      </c>
      <c r="F117" s="4">
        <f>IF(OR($D117="",$E117=""),"",$E117-$D117)</f>
        <v/>
      </c>
      <c r="G117">
        <f>IF(OR($B117="",$C117=""),"",$C117-$B117)</f>
        <v/>
      </c>
    </row>
    <row r="118">
      <c r="A118" s="2" t="n">
        <v>117</v>
      </c>
      <c r="B118">
        <f>IFERROR(INDEX('2001'!$O$2:$O$489,MATCH($A118,'2001'!$A$2:$A$489,0)),"")</f>
        <v/>
      </c>
      <c r="C118">
        <f>IFERROR(INDEX('2011'!$N$2:$N$490,MATCH($A118,'2011'!$A$2:$A$490,0)),"")</f>
        <v/>
      </c>
      <c r="D118" s="3">
        <f>IFERROR(INDEX('2001'!$Y$2:$Y$489,MATCH($A118,'2001'!$A$2:$A$489,0)),"")</f>
        <v/>
      </c>
      <c r="E118" s="3">
        <f>IFERROR(INDEX('2011'!$X$2:$X$490,MATCH($A118,'2011'!$A$2:$A$490,0)),"")</f>
        <v/>
      </c>
      <c r="F118" s="4">
        <f>IF(OR($D118="",$E118=""),"",$E118-$D118)</f>
        <v/>
      </c>
      <c r="G118">
        <f>IF(OR($B118="",$C118=""),"",$C118-$B118)</f>
        <v/>
      </c>
    </row>
    <row r="119">
      <c r="A119" s="2" t="n">
        <v>118</v>
      </c>
      <c r="B119">
        <f>IFERROR(INDEX('2001'!$O$2:$O$489,MATCH($A119,'2001'!$A$2:$A$489,0)),"")</f>
        <v/>
      </c>
      <c r="C119">
        <f>IFERROR(INDEX('2011'!$N$2:$N$490,MATCH($A119,'2011'!$A$2:$A$490,0)),"")</f>
        <v/>
      </c>
      <c r="D119" s="3">
        <f>IFERROR(INDEX('2001'!$Y$2:$Y$489,MATCH($A119,'2001'!$A$2:$A$489,0)),"")</f>
        <v/>
      </c>
      <c r="E119" s="3">
        <f>IFERROR(INDEX('2011'!$X$2:$X$490,MATCH($A119,'2011'!$A$2:$A$490,0)),"")</f>
        <v/>
      </c>
      <c r="F119" s="4">
        <f>IF(OR($D119="",$E119=""),"",$E119-$D119)</f>
        <v/>
      </c>
      <c r="G119">
        <f>IF(OR($B119="",$C119=""),"",$C119-$B119)</f>
        <v/>
      </c>
    </row>
    <row r="120">
      <c r="A120" s="2" t="n">
        <v>119</v>
      </c>
      <c r="B120">
        <f>IFERROR(INDEX('2001'!$O$2:$O$489,MATCH($A120,'2001'!$A$2:$A$489,0)),"")</f>
        <v/>
      </c>
      <c r="C120">
        <f>IFERROR(INDEX('2011'!$N$2:$N$490,MATCH($A120,'2011'!$A$2:$A$490,0)),"")</f>
        <v/>
      </c>
      <c r="D120" s="3">
        <f>IFERROR(INDEX('2001'!$Y$2:$Y$489,MATCH($A120,'2001'!$A$2:$A$489,0)),"")</f>
        <v/>
      </c>
      <c r="E120" s="3">
        <f>IFERROR(INDEX('2011'!$X$2:$X$490,MATCH($A120,'2011'!$A$2:$A$490,0)),"")</f>
        <v/>
      </c>
      <c r="F120" s="4">
        <f>IF(OR($D120="",$E120=""),"",$E120-$D120)</f>
        <v/>
      </c>
      <c r="G120">
        <f>IF(OR($B120="",$C120=""),"",$C120-$B120)</f>
        <v/>
      </c>
    </row>
    <row r="121">
      <c r="A121" s="2" t="n">
        <v>120</v>
      </c>
      <c r="B121">
        <f>IFERROR(INDEX('2001'!$O$2:$O$489,MATCH($A121,'2001'!$A$2:$A$489,0)),"")</f>
        <v/>
      </c>
      <c r="C121">
        <f>IFERROR(INDEX('2011'!$N$2:$N$490,MATCH($A121,'2011'!$A$2:$A$490,0)),"")</f>
        <v/>
      </c>
      <c r="D121" s="3">
        <f>IFERROR(INDEX('2001'!$Y$2:$Y$489,MATCH($A121,'2001'!$A$2:$A$489,0)),"")</f>
        <v/>
      </c>
      <c r="E121" s="3">
        <f>IFERROR(INDEX('2011'!$X$2:$X$490,MATCH($A121,'2011'!$A$2:$A$490,0)),"")</f>
        <v/>
      </c>
      <c r="F121" s="4">
        <f>IF(OR($D121="",$E121=""),"",$E121-$D121)</f>
        <v/>
      </c>
      <c r="G121">
        <f>IF(OR($B121="",$C121=""),"",$C121-$B121)</f>
        <v/>
      </c>
    </row>
    <row r="122">
      <c r="A122" s="2" t="n">
        <v>121</v>
      </c>
      <c r="B122">
        <f>IFERROR(INDEX('2001'!$O$2:$O$489,MATCH($A122,'2001'!$A$2:$A$489,0)),"")</f>
        <v/>
      </c>
      <c r="C122">
        <f>IFERROR(INDEX('2011'!$N$2:$N$490,MATCH($A122,'2011'!$A$2:$A$490,0)),"")</f>
        <v/>
      </c>
      <c r="D122" s="3">
        <f>IFERROR(INDEX('2001'!$Y$2:$Y$489,MATCH($A122,'2001'!$A$2:$A$489,0)),"")</f>
        <v/>
      </c>
      <c r="E122" s="3">
        <f>IFERROR(INDEX('2011'!$X$2:$X$490,MATCH($A122,'2011'!$A$2:$A$490,0)),"")</f>
        <v/>
      </c>
      <c r="F122" s="4">
        <f>IF(OR($D122="",$E122=""),"",$E122-$D122)</f>
        <v/>
      </c>
      <c r="G122">
        <f>IF(OR($B122="",$C122=""),"",$C122-$B122)</f>
        <v/>
      </c>
    </row>
    <row r="123">
      <c r="A123" s="2" t="n">
        <v>122</v>
      </c>
      <c r="B123">
        <f>IFERROR(INDEX('2001'!$O$2:$O$489,MATCH($A123,'2001'!$A$2:$A$489,0)),"")</f>
        <v/>
      </c>
      <c r="C123">
        <f>IFERROR(INDEX('2011'!$N$2:$N$490,MATCH($A123,'2011'!$A$2:$A$490,0)),"")</f>
        <v/>
      </c>
      <c r="D123" s="3">
        <f>IFERROR(INDEX('2001'!$Y$2:$Y$489,MATCH($A123,'2001'!$A$2:$A$489,0)),"")</f>
        <v/>
      </c>
      <c r="E123" s="3">
        <f>IFERROR(INDEX('2011'!$X$2:$X$490,MATCH($A123,'2011'!$A$2:$A$490,0)),"")</f>
        <v/>
      </c>
      <c r="F123" s="4">
        <f>IF(OR($D123="",$E123=""),"",$E123-$D123)</f>
        <v/>
      </c>
      <c r="G123">
        <f>IF(OR($B123="",$C123=""),"",$C123-$B123)</f>
        <v/>
      </c>
    </row>
    <row r="124">
      <c r="A124" s="2" t="n">
        <v>123</v>
      </c>
      <c r="B124">
        <f>IFERROR(INDEX('2001'!$O$2:$O$489,MATCH($A124,'2001'!$A$2:$A$489,0)),"")</f>
        <v/>
      </c>
      <c r="C124">
        <f>IFERROR(INDEX('2011'!$N$2:$N$490,MATCH($A124,'2011'!$A$2:$A$490,0)),"")</f>
        <v/>
      </c>
      <c r="D124" s="3">
        <f>IFERROR(INDEX('2001'!$Y$2:$Y$489,MATCH($A124,'2001'!$A$2:$A$489,0)),"")</f>
        <v/>
      </c>
      <c r="E124" s="3">
        <f>IFERROR(INDEX('2011'!$X$2:$X$490,MATCH($A124,'2011'!$A$2:$A$490,0)),"")</f>
        <v/>
      </c>
      <c r="F124" s="4">
        <f>IF(OR($D124="",$E124=""),"",$E124-$D124)</f>
        <v/>
      </c>
      <c r="G124">
        <f>IF(OR($B124="",$C124=""),"",$C124-$B124)</f>
        <v/>
      </c>
    </row>
    <row r="125">
      <c r="A125" s="2" t="n">
        <v>124</v>
      </c>
      <c r="B125">
        <f>IFERROR(INDEX('2001'!$O$2:$O$489,MATCH($A125,'2001'!$A$2:$A$489,0)),"")</f>
        <v/>
      </c>
      <c r="C125">
        <f>IFERROR(INDEX('2011'!$N$2:$N$490,MATCH($A125,'2011'!$A$2:$A$490,0)),"")</f>
        <v/>
      </c>
      <c r="D125" s="3">
        <f>IFERROR(INDEX('2001'!$Y$2:$Y$489,MATCH($A125,'2001'!$A$2:$A$489,0)),"")</f>
        <v/>
      </c>
      <c r="E125" s="3">
        <f>IFERROR(INDEX('2011'!$X$2:$X$490,MATCH($A125,'2011'!$A$2:$A$490,0)),"")</f>
        <v/>
      </c>
      <c r="F125" s="4">
        <f>IF(OR($D125="",$E125=""),"",$E125-$D125)</f>
        <v/>
      </c>
      <c r="G125">
        <f>IF(OR($B125="",$C125=""),"",$C125-$B125)</f>
        <v/>
      </c>
    </row>
    <row r="126">
      <c r="A126" s="2" t="n">
        <v>125</v>
      </c>
      <c r="B126">
        <f>IFERROR(INDEX('2001'!$O$2:$O$489,MATCH($A126,'2001'!$A$2:$A$489,0)),"")</f>
        <v/>
      </c>
      <c r="C126">
        <f>IFERROR(INDEX('2011'!$N$2:$N$490,MATCH($A126,'2011'!$A$2:$A$490,0)),"")</f>
        <v/>
      </c>
      <c r="D126" s="3">
        <f>IFERROR(INDEX('2001'!$Y$2:$Y$489,MATCH($A126,'2001'!$A$2:$A$489,0)),"")</f>
        <v/>
      </c>
      <c r="E126" s="3">
        <f>IFERROR(INDEX('2011'!$X$2:$X$490,MATCH($A126,'2011'!$A$2:$A$490,0)),"")</f>
        <v/>
      </c>
      <c r="F126" s="4">
        <f>IF(OR($D126="",$E126=""),"",$E126-$D126)</f>
        <v/>
      </c>
      <c r="G126">
        <f>IF(OR($B126="",$C126=""),"",$C126-$B126)</f>
        <v/>
      </c>
    </row>
    <row r="127">
      <c r="A127" s="2" t="n">
        <v>126</v>
      </c>
      <c r="B127">
        <f>IFERROR(INDEX('2001'!$O$2:$O$489,MATCH($A127,'2001'!$A$2:$A$489,0)),"")</f>
        <v/>
      </c>
      <c r="C127">
        <f>IFERROR(INDEX('2011'!$N$2:$N$490,MATCH($A127,'2011'!$A$2:$A$490,0)),"")</f>
        <v/>
      </c>
      <c r="D127" s="3">
        <f>IFERROR(INDEX('2001'!$Y$2:$Y$489,MATCH($A127,'2001'!$A$2:$A$489,0)),"")</f>
        <v/>
      </c>
      <c r="E127" s="3">
        <f>IFERROR(INDEX('2011'!$X$2:$X$490,MATCH($A127,'2011'!$A$2:$A$490,0)),"")</f>
        <v/>
      </c>
      <c r="F127" s="4">
        <f>IF(OR($D127="",$E127=""),"",$E127-$D127)</f>
        <v/>
      </c>
      <c r="G127">
        <f>IF(OR($B127="",$C127=""),"",$C127-$B127)</f>
        <v/>
      </c>
    </row>
    <row r="128">
      <c r="A128" s="2" t="n">
        <v>127</v>
      </c>
      <c r="B128">
        <f>IFERROR(INDEX('2001'!$O$2:$O$489,MATCH($A128,'2001'!$A$2:$A$489,0)),"")</f>
        <v/>
      </c>
      <c r="C128">
        <f>IFERROR(INDEX('2011'!$N$2:$N$490,MATCH($A128,'2011'!$A$2:$A$490,0)),"")</f>
        <v/>
      </c>
      <c r="D128" s="3">
        <f>IFERROR(INDEX('2001'!$Y$2:$Y$489,MATCH($A128,'2001'!$A$2:$A$489,0)),"")</f>
        <v/>
      </c>
      <c r="E128" s="3">
        <f>IFERROR(INDEX('2011'!$X$2:$X$490,MATCH($A128,'2011'!$A$2:$A$490,0)),"")</f>
        <v/>
      </c>
      <c r="F128" s="4">
        <f>IF(OR($D128="",$E128=""),"",$E128-$D128)</f>
        <v/>
      </c>
      <c r="G128">
        <f>IF(OR($B128="",$C128=""),"",$C128-$B128)</f>
        <v/>
      </c>
    </row>
    <row r="129">
      <c r="A129" s="2" t="n">
        <v>128</v>
      </c>
      <c r="B129">
        <f>IFERROR(INDEX('2001'!$O$2:$O$489,MATCH($A129,'2001'!$A$2:$A$489,0)),"")</f>
        <v/>
      </c>
      <c r="C129">
        <f>IFERROR(INDEX('2011'!$N$2:$N$490,MATCH($A129,'2011'!$A$2:$A$490,0)),"")</f>
        <v/>
      </c>
      <c r="D129" s="3">
        <f>IFERROR(INDEX('2001'!$Y$2:$Y$489,MATCH($A129,'2001'!$A$2:$A$489,0)),"")</f>
        <v/>
      </c>
      <c r="E129" s="3">
        <f>IFERROR(INDEX('2011'!$X$2:$X$490,MATCH($A129,'2011'!$A$2:$A$490,0)),"")</f>
        <v/>
      </c>
      <c r="F129" s="4">
        <f>IF(OR($D129="",$E129=""),"",$E129-$D129)</f>
        <v/>
      </c>
      <c r="G129">
        <f>IF(OR($B129="",$C129=""),"",$C129-$B129)</f>
        <v/>
      </c>
    </row>
    <row r="130">
      <c r="A130" s="2" t="n">
        <v>129</v>
      </c>
      <c r="B130">
        <f>IFERROR(INDEX('2001'!$O$2:$O$489,MATCH($A130,'2001'!$A$2:$A$489,0)),"")</f>
        <v/>
      </c>
      <c r="C130">
        <f>IFERROR(INDEX('2011'!$N$2:$N$490,MATCH($A130,'2011'!$A$2:$A$490,0)),"")</f>
        <v/>
      </c>
      <c r="D130" s="3">
        <f>IFERROR(INDEX('2001'!$Y$2:$Y$489,MATCH($A130,'2001'!$A$2:$A$489,0)),"")</f>
        <v/>
      </c>
      <c r="E130" s="3">
        <f>IFERROR(INDEX('2011'!$X$2:$X$490,MATCH($A130,'2011'!$A$2:$A$490,0)),"")</f>
        <v/>
      </c>
      <c r="F130" s="4">
        <f>IF(OR($D130="",$E130=""),"",$E130-$D130)</f>
        <v/>
      </c>
      <c r="G130">
        <f>IF(OR($B130="",$C130=""),"",$C130-$B130)</f>
        <v/>
      </c>
    </row>
    <row r="131">
      <c r="A131" s="2" t="n">
        <v>130</v>
      </c>
      <c r="B131">
        <f>IFERROR(INDEX('2001'!$O$2:$O$489,MATCH($A131,'2001'!$A$2:$A$489,0)),"")</f>
        <v/>
      </c>
      <c r="C131">
        <f>IFERROR(INDEX('2011'!$N$2:$N$490,MATCH($A131,'2011'!$A$2:$A$490,0)),"")</f>
        <v/>
      </c>
      <c r="D131" s="3">
        <f>IFERROR(INDEX('2001'!$Y$2:$Y$489,MATCH($A131,'2001'!$A$2:$A$489,0)),"")</f>
        <v/>
      </c>
      <c r="E131" s="3">
        <f>IFERROR(INDEX('2011'!$X$2:$X$490,MATCH($A131,'2011'!$A$2:$A$490,0)),"")</f>
        <v/>
      </c>
      <c r="F131" s="4">
        <f>IF(OR($D131="",$E131=""),"",$E131-$D131)</f>
        <v/>
      </c>
      <c r="G131">
        <f>IF(OR($B131="",$C131=""),"",$C131-$B131)</f>
        <v/>
      </c>
    </row>
    <row r="132">
      <c r="A132" s="2" t="n">
        <v>131</v>
      </c>
      <c r="B132">
        <f>IFERROR(INDEX('2001'!$O$2:$O$489,MATCH($A132,'2001'!$A$2:$A$489,0)),"")</f>
        <v/>
      </c>
      <c r="C132">
        <f>IFERROR(INDEX('2011'!$N$2:$N$490,MATCH($A132,'2011'!$A$2:$A$490,0)),"")</f>
        <v/>
      </c>
      <c r="D132" s="3">
        <f>IFERROR(INDEX('2001'!$Y$2:$Y$489,MATCH($A132,'2001'!$A$2:$A$489,0)),"")</f>
        <v/>
      </c>
      <c r="E132" s="3">
        <f>IFERROR(INDEX('2011'!$X$2:$X$490,MATCH($A132,'2011'!$A$2:$A$490,0)),"")</f>
        <v/>
      </c>
      <c r="F132" s="4">
        <f>IF(OR($D132="",$E132=""),"",$E132-$D132)</f>
        <v/>
      </c>
      <c r="G132">
        <f>IF(OR($B132="",$C132=""),"",$C132-$B132)</f>
        <v/>
      </c>
    </row>
    <row r="133">
      <c r="A133" s="2" t="n">
        <v>132</v>
      </c>
      <c r="B133">
        <f>IFERROR(INDEX('2001'!$O$2:$O$489,MATCH($A133,'2001'!$A$2:$A$489,0)),"")</f>
        <v/>
      </c>
      <c r="C133">
        <f>IFERROR(INDEX('2011'!$N$2:$N$490,MATCH($A133,'2011'!$A$2:$A$490,0)),"")</f>
        <v/>
      </c>
      <c r="D133" s="3">
        <f>IFERROR(INDEX('2001'!$Y$2:$Y$489,MATCH($A133,'2001'!$A$2:$A$489,0)),"")</f>
        <v/>
      </c>
      <c r="E133" s="3">
        <f>IFERROR(INDEX('2011'!$X$2:$X$490,MATCH($A133,'2011'!$A$2:$A$490,0)),"")</f>
        <v/>
      </c>
      <c r="F133" s="4">
        <f>IF(OR($D133="",$E133=""),"",$E133-$D133)</f>
        <v/>
      </c>
      <c r="G133">
        <f>IF(OR($B133="",$C133=""),"",$C133-$B133)</f>
        <v/>
      </c>
    </row>
    <row r="134">
      <c r="A134" s="2" t="n">
        <v>133</v>
      </c>
      <c r="B134">
        <f>IFERROR(INDEX('2001'!$O$2:$O$489,MATCH($A134,'2001'!$A$2:$A$489,0)),"")</f>
        <v/>
      </c>
      <c r="C134">
        <f>IFERROR(INDEX('2011'!$N$2:$N$490,MATCH($A134,'2011'!$A$2:$A$490,0)),"")</f>
        <v/>
      </c>
      <c r="D134" s="3">
        <f>IFERROR(INDEX('2001'!$Y$2:$Y$489,MATCH($A134,'2001'!$A$2:$A$489,0)),"")</f>
        <v/>
      </c>
      <c r="E134" s="3">
        <f>IFERROR(INDEX('2011'!$X$2:$X$490,MATCH($A134,'2011'!$A$2:$A$490,0)),"")</f>
        <v/>
      </c>
      <c r="F134" s="4">
        <f>IF(OR($D134="",$E134=""),"",$E134-$D134)</f>
        <v/>
      </c>
      <c r="G134">
        <f>IF(OR($B134="",$C134=""),"",$C134-$B134)</f>
        <v/>
      </c>
    </row>
    <row r="135">
      <c r="A135" s="2" t="n">
        <v>134</v>
      </c>
      <c r="B135">
        <f>IFERROR(INDEX('2001'!$O$2:$O$489,MATCH($A135,'2001'!$A$2:$A$489,0)),"")</f>
        <v/>
      </c>
      <c r="C135">
        <f>IFERROR(INDEX('2011'!$N$2:$N$490,MATCH($A135,'2011'!$A$2:$A$490,0)),"")</f>
        <v/>
      </c>
      <c r="D135" s="3">
        <f>IFERROR(INDEX('2001'!$Y$2:$Y$489,MATCH($A135,'2001'!$A$2:$A$489,0)),"")</f>
        <v/>
      </c>
      <c r="E135" s="3">
        <f>IFERROR(INDEX('2011'!$X$2:$X$490,MATCH($A135,'2011'!$A$2:$A$490,0)),"")</f>
        <v/>
      </c>
      <c r="F135" s="4">
        <f>IF(OR($D135="",$E135=""),"",$E135-$D135)</f>
        <v/>
      </c>
      <c r="G135">
        <f>IF(OR($B135="",$C135=""),"",$C135-$B135)</f>
        <v/>
      </c>
    </row>
    <row r="136">
      <c r="A136" s="2" t="n">
        <v>135</v>
      </c>
      <c r="B136">
        <f>IFERROR(INDEX('2001'!$O$2:$O$489,MATCH($A136,'2001'!$A$2:$A$489,0)),"")</f>
        <v/>
      </c>
      <c r="C136">
        <f>IFERROR(INDEX('2011'!$N$2:$N$490,MATCH($A136,'2011'!$A$2:$A$490,0)),"")</f>
        <v/>
      </c>
      <c r="D136" s="3">
        <f>IFERROR(INDEX('2001'!$Y$2:$Y$489,MATCH($A136,'2001'!$A$2:$A$489,0)),"")</f>
        <v/>
      </c>
      <c r="E136" s="3">
        <f>IFERROR(INDEX('2011'!$X$2:$X$490,MATCH($A136,'2011'!$A$2:$A$490,0)),"")</f>
        <v/>
      </c>
      <c r="F136" s="4">
        <f>IF(OR($D136="",$E136=""),"",$E136-$D136)</f>
        <v/>
      </c>
      <c r="G136">
        <f>IF(OR($B136="",$C136=""),"",$C136-$B136)</f>
        <v/>
      </c>
    </row>
    <row r="137">
      <c r="A137" s="2" t="n">
        <v>136</v>
      </c>
      <c r="B137">
        <f>IFERROR(INDEX('2001'!$O$2:$O$489,MATCH($A137,'2001'!$A$2:$A$489,0)),"")</f>
        <v/>
      </c>
      <c r="C137">
        <f>IFERROR(INDEX('2011'!$N$2:$N$490,MATCH($A137,'2011'!$A$2:$A$490,0)),"")</f>
        <v/>
      </c>
      <c r="D137" s="3">
        <f>IFERROR(INDEX('2001'!$Y$2:$Y$489,MATCH($A137,'2001'!$A$2:$A$489,0)),"")</f>
        <v/>
      </c>
      <c r="E137" s="3">
        <f>IFERROR(INDEX('2011'!$X$2:$X$490,MATCH($A137,'2011'!$A$2:$A$490,0)),"")</f>
        <v/>
      </c>
      <c r="F137" s="4">
        <f>IF(OR($D137="",$E137=""),"",$E137-$D137)</f>
        <v/>
      </c>
      <c r="G137">
        <f>IF(OR($B137="",$C137=""),"",$C137-$B137)</f>
        <v/>
      </c>
    </row>
    <row r="138">
      <c r="A138" s="2" t="n">
        <v>137</v>
      </c>
      <c r="B138">
        <f>IFERROR(INDEX('2001'!$O$2:$O$489,MATCH($A138,'2001'!$A$2:$A$489,0)),"")</f>
        <v/>
      </c>
      <c r="C138">
        <f>IFERROR(INDEX('2011'!$N$2:$N$490,MATCH($A138,'2011'!$A$2:$A$490,0)),"")</f>
        <v/>
      </c>
      <c r="D138" s="3">
        <f>IFERROR(INDEX('2001'!$Y$2:$Y$489,MATCH($A138,'2001'!$A$2:$A$489,0)),"")</f>
        <v/>
      </c>
      <c r="E138" s="3">
        <f>IFERROR(INDEX('2011'!$X$2:$X$490,MATCH($A138,'2011'!$A$2:$A$490,0)),"")</f>
        <v/>
      </c>
      <c r="F138" s="4">
        <f>IF(OR($D138="",$E138=""),"",$E138-$D138)</f>
        <v/>
      </c>
      <c r="G138">
        <f>IF(OR($B138="",$C138=""),"",$C138-$B138)</f>
        <v/>
      </c>
    </row>
    <row r="139">
      <c r="A139" s="2" t="n">
        <v>138</v>
      </c>
      <c r="B139">
        <f>IFERROR(INDEX('2001'!$O$2:$O$489,MATCH($A139,'2001'!$A$2:$A$489,0)),"")</f>
        <v/>
      </c>
      <c r="C139">
        <f>IFERROR(INDEX('2011'!$N$2:$N$490,MATCH($A139,'2011'!$A$2:$A$490,0)),"")</f>
        <v/>
      </c>
      <c r="D139" s="3">
        <f>IFERROR(INDEX('2001'!$Y$2:$Y$489,MATCH($A139,'2001'!$A$2:$A$489,0)),"")</f>
        <v/>
      </c>
      <c r="E139" s="3">
        <f>IFERROR(INDEX('2011'!$X$2:$X$490,MATCH($A139,'2011'!$A$2:$A$490,0)),"")</f>
        <v/>
      </c>
      <c r="F139" s="4">
        <f>IF(OR($D139="",$E139=""),"",$E139-$D139)</f>
        <v/>
      </c>
      <c r="G139">
        <f>IF(OR($B139="",$C139=""),"",$C139-$B139)</f>
        <v/>
      </c>
    </row>
    <row r="140">
      <c r="A140" s="2" t="n">
        <v>139</v>
      </c>
      <c r="B140">
        <f>IFERROR(INDEX('2001'!$O$2:$O$489,MATCH($A140,'2001'!$A$2:$A$489,0)),"")</f>
        <v/>
      </c>
      <c r="C140">
        <f>IFERROR(INDEX('2011'!$N$2:$N$490,MATCH($A140,'2011'!$A$2:$A$490,0)),"")</f>
        <v/>
      </c>
      <c r="D140" s="3">
        <f>IFERROR(INDEX('2001'!$Y$2:$Y$489,MATCH($A140,'2001'!$A$2:$A$489,0)),"")</f>
        <v/>
      </c>
      <c r="E140" s="3">
        <f>IFERROR(INDEX('2011'!$X$2:$X$490,MATCH($A140,'2011'!$A$2:$A$490,0)),"")</f>
        <v/>
      </c>
      <c r="F140" s="4">
        <f>IF(OR($D140="",$E140=""),"",$E140-$D140)</f>
        <v/>
      </c>
      <c r="G140">
        <f>IF(OR($B140="",$C140=""),"",$C140-$B140)</f>
        <v/>
      </c>
    </row>
    <row r="141">
      <c r="A141" s="2" t="n">
        <v>140</v>
      </c>
      <c r="B141">
        <f>IFERROR(INDEX('2001'!$O$2:$O$489,MATCH($A141,'2001'!$A$2:$A$489,0)),"")</f>
        <v/>
      </c>
      <c r="C141">
        <f>IFERROR(INDEX('2011'!$N$2:$N$490,MATCH($A141,'2011'!$A$2:$A$490,0)),"")</f>
        <v/>
      </c>
      <c r="D141" s="3">
        <f>IFERROR(INDEX('2001'!$Y$2:$Y$489,MATCH($A141,'2001'!$A$2:$A$489,0)),"")</f>
        <v/>
      </c>
      <c r="E141" s="3">
        <f>IFERROR(INDEX('2011'!$X$2:$X$490,MATCH($A141,'2011'!$A$2:$A$490,0)),"")</f>
        <v/>
      </c>
      <c r="F141" s="4">
        <f>IF(OR($D141="",$E141=""),"",$E141-$D141)</f>
        <v/>
      </c>
      <c r="G141">
        <f>IF(OR($B141="",$C141=""),"",$C141-$B141)</f>
        <v/>
      </c>
    </row>
    <row r="142">
      <c r="A142" s="2" t="n">
        <v>141</v>
      </c>
      <c r="B142">
        <f>IFERROR(INDEX('2001'!$O$2:$O$489,MATCH($A142,'2001'!$A$2:$A$489,0)),"")</f>
        <v/>
      </c>
      <c r="C142">
        <f>IFERROR(INDEX('2011'!$N$2:$N$490,MATCH($A142,'2011'!$A$2:$A$490,0)),"")</f>
        <v/>
      </c>
      <c r="D142" s="3">
        <f>IFERROR(INDEX('2001'!$Y$2:$Y$489,MATCH($A142,'2001'!$A$2:$A$489,0)),"")</f>
        <v/>
      </c>
      <c r="E142" s="3">
        <f>IFERROR(INDEX('2011'!$X$2:$X$490,MATCH($A142,'2011'!$A$2:$A$490,0)),"")</f>
        <v/>
      </c>
      <c r="F142" s="4">
        <f>IF(OR($D142="",$E142=""),"",$E142-$D142)</f>
        <v/>
      </c>
      <c r="G142">
        <f>IF(OR($B142="",$C142=""),"",$C142-$B142)</f>
        <v/>
      </c>
    </row>
    <row r="143">
      <c r="A143" s="2" t="n">
        <v>142</v>
      </c>
      <c r="B143">
        <f>IFERROR(INDEX('2001'!$O$2:$O$489,MATCH($A143,'2001'!$A$2:$A$489,0)),"")</f>
        <v/>
      </c>
      <c r="C143">
        <f>IFERROR(INDEX('2011'!$N$2:$N$490,MATCH($A143,'2011'!$A$2:$A$490,0)),"")</f>
        <v/>
      </c>
      <c r="D143" s="3">
        <f>IFERROR(INDEX('2001'!$Y$2:$Y$489,MATCH($A143,'2001'!$A$2:$A$489,0)),"")</f>
        <v/>
      </c>
      <c r="E143" s="3">
        <f>IFERROR(INDEX('2011'!$X$2:$X$490,MATCH($A143,'2011'!$A$2:$A$490,0)),"")</f>
        <v/>
      </c>
      <c r="F143" s="4">
        <f>IF(OR($D143="",$E143=""),"",$E143-$D143)</f>
        <v/>
      </c>
      <c r="G143">
        <f>IF(OR($B143="",$C143=""),"",$C143-$B143)</f>
        <v/>
      </c>
    </row>
    <row r="144">
      <c r="A144" s="2" t="n">
        <v>143</v>
      </c>
      <c r="B144">
        <f>IFERROR(INDEX('2001'!$O$2:$O$489,MATCH($A144,'2001'!$A$2:$A$489,0)),"")</f>
        <v/>
      </c>
      <c r="C144">
        <f>IFERROR(INDEX('2011'!$N$2:$N$490,MATCH($A144,'2011'!$A$2:$A$490,0)),"")</f>
        <v/>
      </c>
      <c r="D144" s="3">
        <f>IFERROR(INDEX('2001'!$Y$2:$Y$489,MATCH($A144,'2001'!$A$2:$A$489,0)),"")</f>
        <v/>
      </c>
      <c r="E144" s="3">
        <f>IFERROR(INDEX('2011'!$X$2:$X$490,MATCH($A144,'2011'!$A$2:$A$490,0)),"")</f>
        <v/>
      </c>
      <c r="F144" s="4">
        <f>IF(OR($D144="",$E144=""),"",$E144-$D144)</f>
        <v/>
      </c>
      <c r="G144">
        <f>IF(OR($B144="",$C144=""),"",$C144-$B144)</f>
        <v/>
      </c>
    </row>
    <row r="145">
      <c r="A145" s="2" t="n">
        <v>144</v>
      </c>
      <c r="B145">
        <f>IFERROR(INDEX('2001'!$O$2:$O$489,MATCH($A145,'2001'!$A$2:$A$489,0)),"")</f>
        <v/>
      </c>
      <c r="C145">
        <f>IFERROR(INDEX('2011'!$N$2:$N$490,MATCH($A145,'2011'!$A$2:$A$490,0)),"")</f>
        <v/>
      </c>
      <c r="D145" s="3">
        <f>IFERROR(INDEX('2001'!$Y$2:$Y$489,MATCH($A145,'2001'!$A$2:$A$489,0)),"")</f>
        <v/>
      </c>
      <c r="E145" s="3">
        <f>IFERROR(INDEX('2011'!$X$2:$X$490,MATCH($A145,'2011'!$A$2:$A$490,0)),"")</f>
        <v/>
      </c>
      <c r="F145" s="4">
        <f>IF(OR($D145="",$E145=""),"",$E145-$D145)</f>
        <v/>
      </c>
      <c r="G145">
        <f>IF(OR($B145="",$C145=""),"",$C145-$B145)</f>
        <v/>
      </c>
    </row>
    <row r="146">
      <c r="A146" s="2" t="n">
        <v>145</v>
      </c>
      <c r="B146">
        <f>IFERROR(INDEX('2001'!$O$2:$O$489,MATCH($A146,'2001'!$A$2:$A$489,0)),"")</f>
        <v/>
      </c>
      <c r="C146">
        <f>IFERROR(INDEX('2011'!$N$2:$N$490,MATCH($A146,'2011'!$A$2:$A$490,0)),"")</f>
        <v/>
      </c>
      <c r="D146" s="3">
        <f>IFERROR(INDEX('2001'!$Y$2:$Y$489,MATCH($A146,'2001'!$A$2:$A$489,0)),"")</f>
        <v/>
      </c>
      <c r="E146" s="3">
        <f>IFERROR(INDEX('2011'!$X$2:$X$490,MATCH($A146,'2011'!$A$2:$A$490,0)),"")</f>
        <v/>
      </c>
      <c r="F146" s="4">
        <f>IF(OR($D146="",$E146=""),"",$E146-$D146)</f>
        <v/>
      </c>
      <c r="G146">
        <f>IF(OR($B146="",$C146=""),"",$C146-$B146)</f>
        <v/>
      </c>
    </row>
    <row r="147">
      <c r="A147" s="2" t="n">
        <v>146</v>
      </c>
      <c r="B147">
        <f>IFERROR(INDEX('2001'!$O$2:$O$489,MATCH($A147,'2001'!$A$2:$A$489,0)),"")</f>
        <v/>
      </c>
      <c r="C147">
        <f>IFERROR(INDEX('2011'!$N$2:$N$490,MATCH($A147,'2011'!$A$2:$A$490,0)),"")</f>
        <v/>
      </c>
      <c r="D147" s="3">
        <f>IFERROR(INDEX('2001'!$Y$2:$Y$489,MATCH($A147,'2001'!$A$2:$A$489,0)),"")</f>
        <v/>
      </c>
      <c r="E147" s="3">
        <f>IFERROR(INDEX('2011'!$X$2:$X$490,MATCH($A147,'2011'!$A$2:$A$490,0)),"")</f>
        <v/>
      </c>
      <c r="F147" s="4">
        <f>IF(OR($D147="",$E147=""),"",$E147-$D147)</f>
        <v/>
      </c>
      <c r="G147">
        <f>IF(OR($B147="",$C147=""),"",$C147-$B147)</f>
        <v/>
      </c>
    </row>
    <row r="148">
      <c r="A148" s="2" t="n">
        <v>147</v>
      </c>
      <c r="B148">
        <f>IFERROR(INDEX('2001'!$O$2:$O$489,MATCH($A148,'2001'!$A$2:$A$489,0)),"")</f>
        <v/>
      </c>
      <c r="C148">
        <f>IFERROR(INDEX('2011'!$N$2:$N$490,MATCH($A148,'2011'!$A$2:$A$490,0)),"")</f>
        <v/>
      </c>
      <c r="D148" s="3">
        <f>IFERROR(INDEX('2001'!$Y$2:$Y$489,MATCH($A148,'2001'!$A$2:$A$489,0)),"")</f>
        <v/>
      </c>
      <c r="E148" s="3">
        <f>IFERROR(INDEX('2011'!$X$2:$X$490,MATCH($A148,'2011'!$A$2:$A$490,0)),"")</f>
        <v/>
      </c>
      <c r="F148" s="4">
        <f>IF(OR($D148="",$E148=""),"",$E148-$D148)</f>
        <v/>
      </c>
      <c r="G148">
        <f>IF(OR($B148="",$C148=""),"",$C148-$B148)</f>
        <v/>
      </c>
    </row>
    <row r="149">
      <c r="A149" s="2" t="n">
        <v>148</v>
      </c>
      <c r="B149">
        <f>IFERROR(INDEX('2001'!$O$2:$O$489,MATCH($A149,'2001'!$A$2:$A$489,0)),"")</f>
        <v/>
      </c>
      <c r="C149">
        <f>IFERROR(INDEX('2011'!$N$2:$N$490,MATCH($A149,'2011'!$A$2:$A$490,0)),"")</f>
        <v/>
      </c>
      <c r="D149" s="3">
        <f>IFERROR(INDEX('2001'!$Y$2:$Y$489,MATCH($A149,'2001'!$A$2:$A$489,0)),"")</f>
        <v/>
      </c>
      <c r="E149" s="3">
        <f>IFERROR(INDEX('2011'!$X$2:$X$490,MATCH($A149,'2011'!$A$2:$A$490,0)),"")</f>
        <v/>
      </c>
      <c r="F149" s="4">
        <f>IF(OR($D149="",$E149=""),"",$E149-$D149)</f>
        <v/>
      </c>
      <c r="G149">
        <f>IF(OR($B149="",$C149=""),"",$C149-$B149)</f>
        <v/>
      </c>
    </row>
    <row r="150">
      <c r="A150" s="2" t="n">
        <v>149</v>
      </c>
      <c r="B150">
        <f>IFERROR(INDEX('2001'!$O$2:$O$489,MATCH($A150,'2001'!$A$2:$A$489,0)),"")</f>
        <v/>
      </c>
      <c r="C150">
        <f>IFERROR(INDEX('2011'!$N$2:$N$490,MATCH($A150,'2011'!$A$2:$A$490,0)),"")</f>
        <v/>
      </c>
      <c r="D150" s="3">
        <f>IFERROR(INDEX('2001'!$Y$2:$Y$489,MATCH($A150,'2001'!$A$2:$A$489,0)),"")</f>
        <v/>
      </c>
      <c r="E150" s="3">
        <f>IFERROR(INDEX('2011'!$X$2:$X$490,MATCH($A150,'2011'!$A$2:$A$490,0)),"")</f>
        <v/>
      </c>
      <c r="F150" s="4">
        <f>IF(OR($D150="",$E150=""),"",$E150-$D150)</f>
        <v/>
      </c>
      <c r="G150">
        <f>IF(OR($B150="",$C150=""),"",$C150-$B150)</f>
        <v/>
      </c>
    </row>
    <row r="151">
      <c r="A151" s="2" t="n">
        <v>150</v>
      </c>
      <c r="B151">
        <f>IFERROR(INDEX('2001'!$O$2:$O$489,MATCH($A151,'2001'!$A$2:$A$489,0)),"")</f>
        <v/>
      </c>
      <c r="C151">
        <f>IFERROR(INDEX('2011'!$N$2:$N$490,MATCH($A151,'2011'!$A$2:$A$490,0)),"")</f>
        <v/>
      </c>
      <c r="D151" s="3">
        <f>IFERROR(INDEX('2001'!$Y$2:$Y$489,MATCH($A151,'2001'!$A$2:$A$489,0)),"")</f>
        <v/>
      </c>
      <c r="E151" s="3">
        <f>IFERROR(INDEX('2011'!$X$2:$X$490,MATCH($A151,'2011'!$A$2:$A$490,0)),"")</f>
        <v/>
      </c>
      <c r="F151" s="4">
        <f>IF(OR($D151="",$E151=""),"",$E151-$D151)</f>
        <v/>
      </c>
      <c r="G151">
        <f>IF(OR($B151="",$C151=""),"",$C151-$B151)</f>
        <v/>
      </c>
    </row>
    <row r="152">
      <c r="A152" s="2" t="n">
        <v>151</v>
      </c>
      <c r="B152">
        <f>IFERROR(INDEX('2001'!$O$2:$O$489,MATCH($A152,'2001'!$A$2:$A$489,0)),"")</f>
        <v/>
      </c>
      <c r="C152">
        <f>IFERROR(INDEX('2011'!$N$2:$N$490,MATCH($A152,'2011'!$A$2:$A$490,0)),"")</f>
        <v/>
      </c>
      <c r="D152" s="3">
        <f>IFERROR(INDEX('2001'!$Y$2:$Y$489,MATCH($A152,'2001'!$A$2:$A$489,0)),"")</f>
        <v/>
      </c>
      <c r="E152" s="3">
        <f>IFERROR(INDEX('2011'!$X$2:$X$490,MATCH($A152,'2011'!$A$2:$A$490,0)),"")</f>
        <v/>
      </c>
      <c r="F152" s="4">
        <f>IF(OR($D152="",$E152=""),"",$E152-$D152)</f>
        <v/>
      </c>
      <c r="G152">
        <f>IF(OR($B152="",$C152=""),"",$C152-$B152)</f>
        <v/>
      </c>
    </row>
    <row r="153">
      <c r="A153" s="2" t="n">
        <v>152</v>
      </c>
      <c r="B153">
        <f>IFERROR(INDEX('2001'!$O$2:$O$489,MATCH($A153,'2001'!$A$2:$A$489,0)),"")</f>
        <v/>
      </c>
      <c r="C153">
        <f>IFERROR(INDEX('2011'!$N$2:$N$490,MATCH($A153,'2011'!$A$2:$A$490,0)),"")</f>
        <v/>
      </c>
      <c r="D153" s="3">
        <f>IFERROR(INDEX('2001'!$Y$2:$Y$489,MATCH($A153,'2001'!$A$2:$A$489,0)),"")</f>
        <v/>
      </c>
      <c r="E153" s="3">
        <f>IFERROR(INDEX('2011'!$X$2:$X$490,MATCH($A153,'2011'!$A$2:$A$490,0)),"")</f>
        <v/>
      </c>
      <c r="F153" s="4">
        <f>IF(OR($D153="",$E153=""),"",$E153-$D153)</f>
        <v/>
      </c>
      <c r="G153">
        <f>IF(OR($B153="",$C153=""),"",$C153-$B153)</f>
        <v/>
      </c>
    </row>
    <row r="154">
      <c r="A154" s="2" t="n">
        <v>153</v>
      </c>
      <c r="B154">
        <f>IFERROR(INDEX('2001'!$O$2:$O$489,MATCH($A154,'2001'!$A$2:$A$489,0)),"")</f>
        <v/>
      </c>
      <c r="C154">
        <f>IFERROR(INDEX('2011'!$N$2:$N$490,MATCH($A154,'2011'!$A$2:$A$490,0)),"")</f>
        <v/>
      </c>
      <c r="D154" s="3">
        <f>IFERROR(INDEX('2001'!$Y$2:$Y$489,MATCH($A154,'2001'!$A$2:$A$489,0)),"")</f>
        <v/>
      </c>
      <c r="E154" s="3">
        <f>IFERROR(INDEX('2011'!$X$2:$X$490,MATCH($A154,'2011'!$A$2:$A$490,0)),"")</f>
        <v/>
      </c>
      <c r="F154" s="4">
        <f>IF(OR($D154="",$E154=""),"",$E154-$D154)</f>
        <v/>
      </c>
      <c r="G154">
        <f>IF(OR($B154="",$C154=""),"",$C154-$B154)</f>
        <v/>
      </c>
    </row>
    <row r="155">
      <c r="A155" s="2" t="n">
        <v>154</v>
      </c>
      <c r="B155">
        <f>IFERROR(INDEX('2001'!$O$2:$O$489,MATCH($A155,'2001'!$A$2:$A$489,0)),"")</f>
        <v/>
      </c>
      <c r="C155">
        <f>IFERROR(INDEX('2011'!$N$2:$N$490,MATCH($A155,'2011'!$A$2:$A$490,0)),"")</f>
        <v/>
      </c>
      <c r="D155" s="3">
        <f>IFERROR(INDEX('2001'!$Y$2:$Y$489,MATCH($A155,'2001'!$A$2:$A$489,0)),"")</f>
        <v/>
      </c>
      <c r="E155" s="3">
        <f>IFERROR(INDEX('2011'!$X$2:$X$490,MATCH($A155,'2011'!$A$2:$A$490,0)),"")</f>
        <v/>
      </c>
      <c r="F155" s="4">
        <f>IF(OR($D155="",$E155=""),"",$E155-$D155)</f>
        <v/>
      </c>
      <c r="G155">
        <f>IF(OR($B155="",$C155=""),"",$C155-$B155)</f>
        <v/>
      </c>
    </row>
    <row r="156">
      <c r="A156" s="2" t="n">
        <v>155</v>
      </c>
      <c r="B156">
        <f>IFERROR(INDEX('2001'!$O$2:$O$489,MATCH($A156,'2001'!$A$2:$A$489,0)),"")</f>
        <v/>
      </c>
      <c r="C156">
        <f>IFERROR(INDEX('2011'!$N$2:$N$490,MATCH($A156,'2011'!$A$2:$A$490,0)),"")</f>
        <v/>
      </c>
      <c r="D156" s="3">
        <f>IFERROR(INDEX('2001'!$Y$2:$Y$489,MATCH($A156,'2001'!$A$2:$A$489,0)),"")</f>
        <v/>
      </c>
      <c r="E156" s="3">
        <f>IFERROR(INDEX('2011'!$X$2:$X$490,MATCH($A156,'2011'!$A$2:$A$490,0)),"")</f>
        <v/>
      </c>
      <c r="F156" s="4">
        <f>IF(OR($D156="",$E156=""),"",$E156-$D156)</f>
        <v/>
      </c>
      <c r="G156">
        <f>IF(OR($B156="",$C156=""),"",$C156-$B156)</f>
        <v/>
      </c>
    </row>
    <row r="157">
      <c r="A157" s="2" t="n">
        <v>156</v>
      </c>
      <c r="B157">
        <f>IFERROR(INDEX('2001'!$O$2:$O$489,MATCH($A157,'2001'!$A$2:$A$489,0)),"")</f>
        <v/>
      </c>
      <c r="C157">
        <f>IFERROR(INDEX('2011'!$N$2:$N$490,MATCH($A157,'2011'!$A$2:$A$490,0)),"")</f>
        <v/>
      </c>
      <c r="D157" s="3">
        <f>IFERROR(INDEX('2001'!$Y$2:$Y$489,MATCH($A157,'2001'!$A$2:$A$489,0)),"")</f>
        <v/>
      </c>
      <c r="E157" s="3">
        <f>IFERROR(INDEX('2011'!$X$2:$X$490,MATCH($A157,'2011'!$A$2:$A$490,0)),"")</f>
        <v/>
      </c>
      <c r="F157" s="4">
        <f>IF(OR($D157="",$E157=""),"",$E157-$D157)</f>
        <v/>
      </c>
      <c r="G157">
        <f>IF(OR($B157="",$C157=""),"",$C157-$B157)</f>
        <v/>
      </c>
    </row>
    <row r="158">
      <c r="A158" s="2" t="n">
        <v>157</v>
      </c>
      <c r="B158">
        <f>IFERROR(INDEX('2001'!$O$2:$O$489,MATCH($A158,'2001'!$A$2:$A$489,0)),"")</f>
        <v/>
      </c>
      <c r="C158">
        <f>IFERROR(INDEX('2011'!$N$2:$N$490,MATCH($A158,'2011'!$A$2:$A$490,0)),"")</f>
        <v/>
      </c>
      <c r="D158" s="3">
        <f>IFERROR(INDEX('2001'!$Y$2:$Y$489,MATCH($A158,'2001'!$A$2:$A$489,0)),"")</f>
        <v/>
      </c>
      <c r="E158" s="3">
        <f>IFERROR(INDEX('2011'!$X$2:$X$490,MATCH($A158,'2011'!$A$2:$A$490,0)),"")</f>
        <v/>
      </c>
      <c r="F158" s="4">
        <f>IF(OR($D158="",$E158=""),"",$E158-$D158)</f>
        <v/>
      </c>
      <c r="G158">
        <f>IF(OR($B158="",$C158=""),"",$C158-$B158)</f>
        <v/>
      </c>
    </row>
    <row r="159">
      <c r="A159" s="2" t="n">
        <v>158</v>
      </c>
      <c r="B159">
        <f>IFERROR(INDEX('2001'!$O$2:$O$489,MATCH($A159,'2001'!$A$2:$A$489,0)),"")</f>
        <v/>
      </c>
      <c r="C159">
        <f>IFERROR(INDEX('2011'!$N$2:$N$490,MATCH($A159,'2011'!$A$2:$A$490,0)),"")</f>
        <v/>
      </c>
      <c r="D159" s="3">
        <f>IFERROR(INDEX('2001'!$Y$2:$Y$489,MATCH($A159,'2001'!$A$2:$A$489,0)),"")</f>
        <v/>
      </c>
      <c r="E159" s="3">
        <f>IFERROR(INDEX('2011'!$X$2:$X$490,MATCH($A159,'2011'!$A$2:$A$490,0)),"")</f>
        <v/>
      </c>
      <c r="F159" s="4">
        <f>IF(OR($D159="",$E159=""),"",$E159-$D159)</f>
        <v/>
      </c>
      <c r="G159">
        <f>IF(OR($B159="",$C159=""),"",$C159-$B159)</f>
        <v/>
      </c>
    </row>
    <row r="160">
      <c r="A160" s="2" t="n">
        <v>159</v>
      </c>
      <c r="B160">
        <f>IFERROR(INDEX('2001'!$O$2:$O$489,MATCH($A160,'2001'!$A$2:$A$489,0)),"")</f>
        <v/>
      </c>
      <c r="C160">
        <f>IFERROR(INDEX('2011'!$N$2:$N$490,MATCH($A160,'2011'!$A$2:$A$490,0)),"")</f>
        <v/>
      </c>
      <c r="D160" s="3">
        <f>IFERROR(INDEX('2001'!$Y$2:$Y$489,MATCH($A160,'2001'!$A$2:$A$489,0)),"")</f>
        <v/>
      </c>
      <c r="E160" s="3">
        <f>IFERROR(INDEX('2011'!$X$2:$X$490,MATCH($A160,'2011'!$A$2:$A$490,0)),"")</f>
        <v/>
      </c>
      <c r="F160" s="4">
        <f>IF(OR($D160="",$E160=""),"",$E160-$D160)</f>
        <v/>
      </c>
      <c r="G160">
        <f>IF(OR($B160="",$C160=""),"",$C160-$B160)</f>
        <v/>
      </c>
    </row>
    <row r="161">
      <c r="A161" s="2" t="n">
        <v>160</v>
      </c>
      <c r="B161">
        <f>IFERROR(INDEX('2001'!$O$2:$O$489,MATCH($A161,'2001'!$A$2:$A$489,0)),"")</f>
        <v/>
      </c>
      <c r="C161">
        <f>IFERROR(INDEX('2011'!$N$2:$N$490,MATCH($A161,'2011'!$A$2:$A$490,0)),"")</f>
        <v/>
      </c>
      <c r="D161" s="3">
        <f>IFERROR(INDEX('2001'!$Y$2:$Y$489,MATCH($A161,'2001'!$A$2:$A$489,0)),"")</f>
        <v/>
      </c>
      <c r="E161" s="3">
        <f>IFERROR(INDEX('2011'!$X$2:$X$490,MATCH($A161,'2011'!$A$2:$A$490,0)),"")</f>
        <v/>
      </c>
      <c r="F161" s="4">
        <f>IF(OR($D161="",$E161=""),"",$E161-$D161)</f>
        <v/>
      </c>
      <c r="G161">
        <f>IF(OR($B161="",$C161=""),"",$C161-$B161)</f>
        <v/>
      </c>
    </row>
    <row r="162">
      <c r="A162" s="2" t="n">
        <v>161</v>
      </c>
      <c r="B162">
        <f>IFERROR(INDEX('2001'!$O$2:$O$489,MATCH($A162,'2001'!$A$2:$A$489,0)),"")</f>
        <v/>
      </c>
      <c r="C162">
        <f>IFERROR(INDEX('2011'!$N$2:$N$490,MATCH($A162,'2011'!$A$2:$A$490,0)),"")</f>
        <v/>
      </c>
      <c r="D162" s="3">
        <f>IFERROR(INDEX('2001'!$Y$2:$Y$489,MATCH($A162,'2001'!$A$2:$A$489,0)),"")</f>
        <v/>
      </c>
      <c r="E162" s="3">
        <f>IFERROR(INDEX('2011'!$X$2:$X$490,MATCH($A162,'2011'!$A$2:$A$490,0)),"")</f>
        <v/>
      </c>
      <c r="F162" s="4">
        <f>IF(OR($D162="",$E162=""),"",$E162-$D162)</f>
        <v/>
      </c>
      <c r="G162">
        <f>IF(OR($B162="",$C162=""),"",$C162-$B162)</f>
        <v/>
      </c>
    </row>
    <row r="163">
      <c r="A163" s="2" t="n">
        <v>162</v>
      </c>
      <c r="B163">
        <f>IFERROR(INDEX('2001'!$O$2:$O$489,MATCH($A163,'2001'!$A$2:$A$489,0)),"")</f>
        <v/>
      </c>
      <c r="C163">
        <f>IFERROR(INDEX('2011'!$N$2:$N$490,MATCH($A163,'2011'!$A$2:$A$490,0)),"")</f>
        <v/>
      </c>
      <c r="D163" s="3">
        <f>IFERROR(INDEX('2001'!$Y$2:$Y$489,MATCH($A163,'2001'!$A$2:$A$489,0)),"")</f>
        <v/>
      </c>
      <c r="E163" s="3">
        <f>IFERROR(INDEX('2011'!$X$2:$X$490,MATCH($A163,'2011'!$A$2:$A$490,0)),"")</f>
        <v/>
      </c>
      <c r="F163" s="4">
        <f>IF(OR($D163="",$E163=""),"",$E163-$D163)</f>
        <v/>
      </c>
      <c r="G163">
        <f>IF(OR($B163="",$C163=""),"",$C163-$B163)</f>
        <v/>
      </c>
    </row>
    <row r="164">
      <c r="A164" s="2" t="n">
        <v>163</v>
      </c>
      <c r="B164">
        <f>IFERROR(INDEX('2001'!$O$2:$O$489,MATCH($A164,'2001'!$A$2:$A$489,0)),"")</f>
        <v/>
      </c>
      <c r="C164">
        <f>IFERROR(INDEX('2011'!$N$2:$N$490,MATCH($A164,'2011'!$A$2:$A$490,0)),"")</f>
        <v/>
      </c>
      <c r="D164" s="3">
        <f>IFERROR(INDEX('2001'!$Y$2:$Y$489,MATCH($A164,'2001'!$A$2:$A$489,0)),"")</f>
        <v/>
      </c>
      <c r="E164" s="3">
        <f>IFERROR(INDEX('2011'!$X$2:$X$490,MATCH($A164,'2011'!$A$2:$A$490,0)),"")</f>
        <v/>
      </c>
      <c r="F164" s="4">
        <f>IF(OR($D164="",$E164=""),"",$E164-$D164)</f>
        <v/>
      </c>
      <c r="G164">
        <f>IF(OR($B164="",$C164=""),"",$C164-$B164)</f>
        <v/>
      </c>
    </row>
    <row r="165">
      <c r="A165" s="2" t="n">
        <v>164</v>
      </c>
      <c r="B165">
        <f>IFERROR(INDEX('2001'!$O$2:$O$489,MATCH($A165,'2001'!$A$2:$A$489,0)),"")</f>
        <v/>
      </c>
      <c r="C165">
        <f>IFERROR(INDEX('2011'!$N$2:$N$490,MATCH($A165,'2011'!$A$2:$A$490,0)),"")</f>
        <v/>
      </c>
      <c r="D165" s="3">
        <f>IFERROR(INDEX('2001'!$Y$2:$Y$489,MATCH($A165,'2001'!$A$2:$A$489,0)),"")</f>
        <v/>
      </c>
      <c r="E165" s="3">
        <f>IFERROR(INDEX('2011'!$X$2:$X$490,MATCH($A165,'2011'!$A$2:$A$490,0)),"")</f>
        <v/>
      </c>
      <c r="F165" s="4">
        <f>IF(OR($D165="",$E165=""),"",$E165-$D165)</f>
        <v/>
      </c>
      <c r="G165">
        <f>IF(OR($B165="",$C165=""),"",$C165-$B165)</f>
        <v/>
      </c>
    </row>
    <row r="166">
      <c r="A166" s="2" t="n">
        <v>165</v>
      </c>
      <c r="B166">
        <f>IFERROR(INDEX('2001'!$O$2:$O$489,MATCH($A166,'2001'!$A$2:$A$489,0)),"")</f>
        <v/>
      </c>
      <c r="C166">
        <f>IFERROR(INDEX('2011'!$N$2:$N$490,MATCH($A166,'2011'!$A$2:$A$490,0)),"")</f>
        <v/>
      </c>
      <c r="D166" s="3">
        <f>IFERROR(INDEX('2001'!$Y$2:$Y$489,MATCH($A166,'2001'!$A$2:$A$489,0)),"")</f>
        <v/>
      </c>
      <c r="E166" s="3">
        <f>IFERROR(INDEX('2011'!$X$2:$X$490,MATCH($A166,'2011'!$A$2:$A$490,0)),"")</f>
        <v/>
      </c>
      <c r="F166" s="4">
        <f>IF(OR($D166="",$E166=""),"",$E166-$D166)</f>
        <v/>
      </c>
      <c r="G166">
        <f>IF(OR($B166="",$C166=""),"",$C166-$B166)</f>
        <v/>
      </c>
    </row>
    <row r="167">
      <c r="A167" s="2" t="n">
        <v>166</v>
      </c>
      <c r="B167">
        <f>IFERROR(INDEX('2001'!$O$2:$O$489,MATCH($A167,'2001'!$A$2:$A$489,0)),"")</f>
        <v/>
      </c>
      <c r="C167">
        <f>IFERROR(INDEX('2011'!$N$2:$N$490,MATCH($A167,'2011'!$A$2:$A$490,0)),"")</f>
        <v/>
      </c>
      <c r="D167" s="3">
        <f>IFERROR(INDEX('2001'!$Y$2:$Y$489,MATCH($A167,'2001'!$A$2:$A$489,0)),"")</f>
        <v/>
      </c>
      <c r="E167" s="3">
        <f>IFERROR(INDEX('2011'!$X$2:$X$490,MATCH($A167,'2011'!$A$2:$A$490,0)),"")</f>
        <v/>
      </c>
      <c r="F167" s="4">
        <f>IF(OR($D167="",$E167=""),"",$E167-$D167)</f>
        <v/>
      </c>
      <c r="G167">
        <f>IF(OR($B167="",$C167=""),"",$C167-$B167)</f>
        <v/>
      </c>
    </row>
    <row r="168">
      <c r="A168" s="2" t="n">
        <v>167</v>
      </c>
      <c r="B168">
        <f>IFERROR(INDEX('2001'!$O$2:$O$489,MATCH($A168,'2001'!$A$2:$A$489,0)),"")</f>
        <v/>
      </c>
      <c r="C168">
        <f>IFERROR(INDEX('2011'!$N$2:$N$490,MATCH($A168,'2011'!$A$2:$A$490,0)),"")</f>
        <v/>
      </c>
      <c r="D168" s="3">
        <f>IFERROR(INDEX('2001'!$Y$2:$Y$489,MATCH($A168,'2001'!$A$2:$A$489,0)),"")</f>
        <v/>
      </c>
      <c r="E168" s="3">
        <f>IFERROR(INDEX('2011'!$X$2:$X$490,MATCH($A168,'2011'!$A$2:$A$490,0)),"")</f>
        <v/>
      </c>
      <c r="F168" s="4">
        <f>IF(OR($D168="",$E168=""),"",$E168-$D168)</f>
        <v/>
      </c>
      <c r="G168">
        <f>IF(OR($B168="",$C168=""),"",$C168-$B168)</f>
        <v/>
      </c>
    </row>
    <row r="169">
      <c r="A169" s="2" t="n">
        <v>168</v>
      </c>
      <c r="B169">
        <f>IFERROR(INDEX('2001'!$O$2:$O$489,MATCH($A169,'2001'!$A$2:$A$489,0)),"")</f>
        <v/>
      </c>
      <c r="C169">
        <f>IFERROR(INDEX('2011'!$N$2:$N$490,MATCH($A169,'2011'!$A$2:$A$490,0)),"")</f>
        <v/>
      </c>
      <c r="D169" s="3">
        <f>IFERROR(INDEX('2001'!$Y$2:$Y$489,MATCH($A169,'2001'!$A$2:$A$489,0)),"")</f>
        <v/>
      </c>
      <c r="E169" s="3">
        <f>IFERROR(INDEX('2011'!$X$2:$X$490,MATCH($A169,'2011'!$A$2:$A$490,0)),"")</f>
        <v/>
      </c>
      <c r="F169" s="4">
        <f>IF(OR($D169="",$E169=""),"",$E169-$D169)</f>
        <v/>
      </c>
      <c r="G169">
        <f>IF(OR($B169="",$C169=""),"",$C169-$B169)</f>
        <v/>
      </c>
    </row>
    <row r="170">
      <c r="A170" s="2" t="n">
        <v>169</v>
      </c>
      <c r="B170">
        <f>IFERROR(INDEX('2001'!$O$2:$O$489,MATCH($A170,'2001'!$A$2:$A$489,0)),"")</f>
        <v/>
      </c>
      <c r="C170">
        <f>IFERROR(INDEX('2011'!$N$2:$N$490,MATCH($A170,'2011'!$A$2:$A$490,0)),"")</f>
        <v/>
      </c>
      <c r="D170" s="3">
        <f>IFERROR(INDEX('2001'!$Y$2:$Y$489,MATCH($A170,'2001'!$A$2:$A$489,0)),"")</f>
        <v/>
      </c>
      <c r="E170" s="3">
        <f>IFERROR(INDEX('2011'!$X$2:$X$490,MATCH($A170,'2011'!$A$2:$A$490,0)),"")</f>
        <v/>
      </c>
      <c r="F170" s="4">
        <f>IF(OR($D170="",$E170=""),"",$E170-$D170)</f>
        <v/>
      </c>
      <c r="G170">
        <f>IF(OR($B170="",$C170=""),"",$C170-$B170)</f>
        <v/>
      </c>
    </row>
    <row r="171">
      <c r="A171" s="2" t="n">
        <v>170</v>
      </c>
      <c r="B171">
        <f>IFERROR(INDEX('2001'!$O$2:$O$489,MATCH($A171,'2001'!$A$2:$A$489,0)),"")</f>
        <v/>
      </c>
      <c r="C171">
        <f>IFERROR(INDEX('2011'!$N$2:$N$490,MATCH($A171,'2011'!$A$2:$A$490,0)),"")</f>
        <v/>
      </c>
      <c r="D171" s="3">
        <f>IFERROR(INDEX('2001'!$Y$2:$Y$489,MATCH($A171,'2001'!$A$2:$A$489,0)),"")</f>
        <v/>
      </c>
      <c r="E171" s="3">
        <f>IFERROR(INDEX('2011'!$X$2:$X$490,MATCH($A171,'2011'!$A$2:$A$490,0)),"")</f>
        <v/>
      </c>
      <c r="F171" s="4">
        <f>IF(OR($D171="",$E171=""),"",$E171-$D171)</f>
        <v/>
      </c>
      <c r="G171">
        <f>IF(OR($B171="",$C171=""),"",$C171-$B171)</f>
        <v/>
      </c>
    </row>
    <row r="172">
      <c r="A172" s="2" t="n">
        <v>171</v>
      </c>
      <c r="B172">
        <f>IFERROR(INDEX('2001'!$O$2:$O$489,MATCH($A172,'2001'!$A$2:$A$489,0)),"")</f>
        <v/>
      </c>
      <c r="C172">
        <f>IFERROR(INDEX('2011'!$N$2:$N$490,MATCH($A172,'2011'!$A$2:$A$490,0)),"")</f>
        <v/>
      </c>
      <c r="D172" s="3">
        <f>IFERROR(INDEX('2001'!$Y$2:$Y$489,MATCH($A172,'2001'!$A$2:$A$489,0)),"")</f>
        <v/>
      </c>
      <c r="E172" s="3">
        <f>IFERROR(INDEX('2011'!$X$2:$X$490,MATCH($A172,'2011'!$A$2:$A$490,0)),"")</f>
        <v/>
      </c>
      <c r="F172" s="4">
        <f>IF(OR($D172="",$E172=""),"",$E172-$D172)</f>
        <v/>
      </c>
      <c r="G172">
        <f>IF(OR($B172="",$C172=""),"",$C172-$B172)</f>
        <v/>
      </c>
    </row>
    <row r="173">
      <c r="A173" s="2" t="n">
        <v>172</v>
      </c>
      <c r="B173">
        <f>IFERROR(INDEX('2001'!$O$2:$O$489,MATCH($A173,'2001'!$A$2:$A$489,0)),"")</f>
        <v/>
      </c>
      <c r="C173">
        <f>IFERROR(INDEX('2011'!$N$2:$N$490,MATCH($A173,'2011'!$A$2:$A$490,0)),"")</f>
        <v/>
      </c>
      <c r="D173" s="3">
        <f>IFERROR(INDEX('2001'!$Y$2:$Y$489,MATCH($A173,'2001'!$A$2:$A$489,0)),"")</f>
        <v/>
      </c>
      <c r="E173" s="3">
        <f>IFERROR(INDEX('2011'!$X$2:$X$490,MATCH($A173,'2011'!$A$2:$A$490,0)),"")</f>
        <v/>
      </c>
      <c r="F173" s="4">
        <f>IF(OR($D173="",$E173=""),"",$E173-$D173)</f>
        <v/>
      </c>
      <c r="G173">
        <f>IF(OR($B173="",$C173=""),"",$C173-$B173)</f>
        <v/>
      </c>
    </row>
    <row r="174">
      <c r="A174" s="2" t="n">
        <v>173</v>
      </c>
      <c r="B174">
        <f>IFERROR(INDEX('2001'!$O$2:$O$489,MATCH($A174,'2001'!$A$2:$A$489,0)),"")</f>
        <v/>
      </c>
      <c r="C174">
        <f>IFERROR(INDEX('2011'!$N$2:$N$490,MATCH($A174,'2011'!$A$2:$A$490,0)),"")</f>
        <v/>
      </c>
      <c r="D174" s="3">
        <f>IFERROR(INDEX('2001'!$Y$2:$Y$489,MATCH($A174,'2001'!$A$2:$A$489,0)),"")</f>
        <v/>
      </c>
      <c r="E174" s="3">
        <f>IFERROR(INDEX('2011'!$X$2:$X$490,MATCH($A174,'2011'!$A$2:$A$490,0)),"")</f>
        <v/>
      </c>
      <c r="F174" s="4">
        <f>IF(OR($D174="",$E174=""),"",$E174-$D174)</f>
        <v/>
      </c>
      <c r="G174">
        <f>IF(OR($B174="",$C174=""),"",$C174-$B174)</f>
        <v/>
      </c>
    </row>
    <row r="175">
      <c r="A175" s="2" t="n">
        <v>174</v>
      </c>
      <c r="B175">
        <f>IFERROR(INDEX('2001'!$O$2:$O$489,MATCH($A175,'2001'!$A$2:$A$489,0)),"")</f>
        <v/>
      </c>
      <c r="C175">
        <f>IFERROR(INDEX('2011'!$N$2:$N$490,MATCH($A175,'2011'!$A$2:$A$490,0)),"")</f>
        <v/>
      </c>
      <c r="D175" s="3">
        <f>IFERROR(INDEX('2001'!$Y$2:$Y$489,MATCH($A175,'2001'!$A$2:$A$489,0)),"")</f>
        <v/>
      </c>
      <c r="E175" s="3">
        <f>IFERROR(INDEX('2011'!$X$2:$X$490,MATCH($A175,'2011'!$A$2:$A$490,0)),"")</f>
        <v/>
      </c>
      <c r="F175" s="4">
        <f>IF(OR($D175="",$E175=""),"",$E175-$D175)</f>
        <v/>
      </c>
      <c r="G175">
        <f>IF(OR($B175="",$C175=""),"",$C175-$B175)</f>
        <v/>
      </c>
    </row>
    <row r="176">
      <c r="A176" s="2" t="n">
        <v>175</v>
      </c>
      <c r="B176">
        <f>IFERROR(INDEX('2001'!$O$2:$O$489,MATCH($A176,'2001'!$A$2:$A$489,0)),"")</f>
        <v/>
      </c>
      <c r="C176">
        <f>IFERROR(INDEX('2011'!$N$2:$N$490,MATCH($A176,'2011'!$A$2:$A$490,0)),"")</f>
        <v/>
      </c>
      <c r="D176" s="3">
        <f>IFERROR(INDEX('2001'!$Y$2:$Y$489,MATCH($A176,'2001'!$A$2:$A$489,0)),"")</f>
        <v/>
      </c>
      <c r="E176" s="3">
        <f>IFERROR(INDEX('2011'!$X$2:$X$490,MATCH($A176,'2011'!$A$2:$A$490,0)),"")</f>
        <v/>
      </c>
      <c r="F176" s="4">
        <f>IF(OR($D176="",$E176=""),"",$E176-$D176)</f>
        <v/>
      </c>
      <c r="G176">
        <f>IF(OR($B176="",$C176=""),"",$C176-$B176)</f>
        <v/>
      </c>
    </row>
    <row r="177">
      <c r="A177" s="2" t="n">
        <v>176</v>
      </c>
      <c r="B177">
        <f>IFERROR(INDEX('2001'!$O$2:$O$489,MATCH($A177,'2001'!$A$2:$A$489,0)),"")</f>
        <v/>
      </c>
      <c r="C177">
        <f>IFERROR(INDEX('2011'!$N$2:$N$490,MATCH($A177,'2011'!$A$2:$A$490,0)),"")</f>
        <v/>
      </c>
      <c r="D177" s="3">
        <f>IFERROR(INDEX('2001'!$Y$2:$Y$489,MATCH($A177,'2001'!$A$2:$A$489,0)),"")</f>
        <v/>
      </c>
      <c r="E177" s="3">
        <f>IFERROR(INDEX('2011'!$X$2:$X$490,MATCH($A177,'2011'!$A$2:$A$490,0)),"")</f>
        <v/>
      </c>
      <c r="F177" s="4">
        <f>IF(OR($D177="",$E177=""),"",$E177-$D177)</f>
        <v/>
      </c>
      <c r="G177">
        <f>IF(OR($B177="",$C177=""),"",$C177-$B177)</f>
        <v/>
      </c>
    </row>
    <row r="178">
      <c r="A178" s="2" t="n">
        <v>177</v>
      </c>
      <c r="B178">
        <f>IFERROR(INDEX('2001'!$O$2:$O$489,MATCH($A178,'2001'!$A$2:$A$489,0)),"")</f>
        <v/>
      </c>
      <c r="C178">
        <f>IFERROR(INDEX('2011'!$N$2:$N$490,MATCH($A178,'2011'!$A$2:$A$490,0)),"")</f>
        <v/>
      </c>
      <c r="D178" s="3">
        <f>IFERROR(INDEX('2001'!$Y$2:$Y$489,MATCH($A178,'2001'!$A$2:$A$489,0)),"")</f>
        <v/>
      </c>
      <c r="E178" s="3">
        <f>IFERROR(INDEX('2011'!$X$2:$X$490,MATCH($A178,'2011'!$A$2:$A$490,0)),"")</f>
        <v/>
      </c>
      <c r="F178" s="4">
        <f>IF(OR($D178="",$E178=""),"",$E178-$D178)</f>
        <v/>
      </c>
      <c r="G178">
        <f>IF(OR($B178="",$C178=""),"",$C178-$B178)</f>
        <v/>
      </c>
    </row>
    <row r="179">
      <c r="A179" s="2" t="n">
        <v>178</v>
      </c>
      <c r="B179">
        <f>IFERROR(INDEX('2001'!$O$2:$O$489,MATCH($A179,'2001'!$A$2:$A$489,0)),"")</f>
        <v/>
      </c>
      <c r="C179">
        <f>IFERROR(INDEX('2011'!$N$2:$N$490,MATCH($A179,'2011'!$A$2:$A$490,0)),"")</f>
        <v/>
      </c>
      <c r="D179" s="3">
        <f>IFERROR(INDEX('2001'!$Y$2:$Y$489,MATCH($A179,'2001'!$A$2:$A$489,0)),"")</f>
        <v/>
      </c>
      <c r="E179" s="3">
        <f>IFERROR(INDEX('2011'!$X$2:$X$490,MATCH($A179,'2011'!$A$2:$A$490,0)),"")</f>
        <v/>
      </c>
      <c r="F179" s="4">
        <f>IF(OR($D179="",$E179=""),"",$E179-$D179)</f>
        <v/>
      </c>
      <c r="G179">
        <f>IF(OR($B179="",$C179=""),"",$C179-$B179)</f>
        <v/>
      </c>
    </row>
    <row r="180">
      <c r="A180" s="2" t="n">
        <v>179</v>
      </c>
      <c r="B180">
        <f>IFERROR(INDEX('2001'!$O$2:$O$489,MATCH($A180,'2001'!$A$2:$A$489,0)),"")</f>
        <v/>
      </c>
      <c r="C180">
        <f>IFERROR(INDEX('2011'!$N$2:$N$490,MATCH($A180,'2011'!$A$2:$A$490,0)),"")</f>
        <v/>
      </c>
      <c r="D180" s="3">
        <f>IFERROR(INDEX('2001'!$Y$2:$Y$489,MATCH($A180,'2001'!$A$2:$A$489,0)),"")</f>
        <v/>
      </c>
      <c r="E180" s="3">
        <f>IFERROR(INDEX('2011'!$X$2:$X$490,MATCH($A180,'2011'!$A$2:$A$490,0)),"")</f>
        <v/>
      </c>
      <c r="F180" s="4">
        <f>IF(OR($D180="",$E180=""),"",$E180-$D180)</f>
        <v/>
      </c>
      <c r="G180">
        <f>IF(OR($B180="",$C180=""),"",$C180-$B180)</f>
        <v/>
      </c>
    </row>
    <row r="181">
      <c r="A181" s="2" t="n">
        <v>180</v>
      </c>
      <c r="B181">
        <f>IFERROR(INDEX('2001'!$O$2:$O$489,MATCH($A181,'2001'!$A$2:$A$489,0)),"")</f>
        <v/>
      </c>
      <c r="C181">
        <f>IFERROR(INDEX('2011'!$N$2:$N$490,MATCH($A181,'2011'!$A$2:$A$490,0)),"")</f>
        <v/>
      </c>
      <c r="D181" s="3">
        <f>IFERROR(INDEX('2001'!$Y$2:$Y$489,MATCH($A181,'2001'!$A$2:$A$489,0)),"")</f>
        <v/>
      </c>
      <c r="E181" s="3">
        <f>IFERROR(INDEX('2011'!$X$2:$X$490,MATCH($A181,'2011'!$A$2:$A$490,0)),"")</f>
        <v/>
      </c>
      <c r="F181" s="4">
        <f>IF(OR($D181="",$E181=""),"",$E181-$D181)</f>
        <v/>
      </c>
      <c r="G181">
        <f>IF(OR($B181="",$C181=""),"",$C181-$B181)</f>
        <v/>
      </c>
    </row>
    <row r="182">
      <c r="A182" s="2" t="n">
        <v>181</v>
      </c>
      <c r="B182">
        <f>IFERROR(INDEX('2001'!$O$2:$O$489,MATCH($A182,'2001'!$A$2:$A$489,0)),"")</f>
        <v/>
      </c>
      <c r="C182">
        <f>IFERROR(INDEX('2011'!$N$2:$N$490,MATCH($A182,'2011'!$A$2:$A$490,0)),"")</f>
        <v/>
      </c>
      <c r="D182" s="3">
        <f>IFERROR(INDEX('2001'!$Y$2:$Y$489,MATCH($A182,'2001'!$A$2:$A$489,0)),"")</f>
        <v/>
      </c>
      <c r="E182" s="3">
        <f>IFERROR(INDEX('2011'!$X$2:$X$490,MATCH($A182,'2011'!$A$2:$A$490,0)),"")</f>
        <v/>
      </c>
      <c r="F182" s="4">
        <f>IF(OR($D182="",$E182=""),"",$E182-$D182)</f>
        <v/>
      </c>
      <c r="G182">
        <f>IF(OR($B182="",$C182=""),"",$C182-$B182)</f>
        <v/>
      </c>
    </row>
    <row r="183">
      <c r="A183" s="2" t="n">
        <v>182</v>
      </c>
      <c r="B183">
        <f>IFERROR(INDEX('2001'!$O$2:$O$489,MATCH($A183,'2001'!$A$2:$A$489,0)),"")</f>
        <v/>
      </c>
      <c r="C183">
        <f>IFERROR(INDEX('2011'!$N$2:$N$490,MATCH($A183,'2011'!$A$2:$A$490,0)),"")</f>
        <v/>
      </c>
      <c r="D183" s="3">
        <f>IFERROR(INDEX('2001'!$Y$2:$Y$489,MATCH($A183,'2001'!$A$2:$A$489,0)),"")</f>
        <v/>
      </c>
      <c r="E183" s="3">
        <f>IFERROR(INDEX('2011'!$X$2:$X$490,MATCH($A183,'2011'!$A$2:$A$490,0)),"")</f>
        <v/>
      </c>
      <c r="F183" s="4">
        <f>IF(OR($D183="",$E183=""),"",$E183-$D183)</f>
        <v/>
      </c>
      <c r="G183">
        <f>IF(OR($B183="",$C183=""),"",$C183-$B183)</f>
        <v/>
      </c>
    </row>
    <row r="184">
      <c r="A184" s="2" t="n">
        <v>183</v>
      </c>
      <c r="B184">
        <f>IFERROR(INDEX('2001'!$O$2:$O$489,MATCH($A184,'2001'!$A$2:$A$489,0)),"")</f>
        <v/>
      </c>
      <c r="C184">
        <f>IFERROR(INDEX('2011'!$N$2:$N$490,MATCH($A184,'2011'!$A$2:$A$490,0)),"")</f>
        <v/>
      </c>
      <c r="D184" s="3">
        <f>IFERROR(INDEX('2001'!$Y$2:$Y$489,MATCH($A184,'2001'!$A$2:$A$489,0)),"")</f>
        <v/>
      </c>
      <c r="E184" s="3">
        <f>IFERROR(INDEX('2011'!$X$2:$X$490,MATCH($A184,'2011'!$A$2:$A$490,0)),"")</f>
        <v/>
      </c>
      <c r="F184" s="4">
        <f>IF(OR($D184="",$E184=""),"",$E184-$D184)</f>
        <v/>
      </c>
      <c r="G184">
        <f>IF(OR($B184="",$C184=""),"",$C184-$B184)</f>
        <v/>
      </c>
    </row>
    <row r="185">
      <c r="A185" s="2" t="n">
        <v>184</v>
      </c>
      <c r="B185">
        <f>IFERROR(INDEX('2001'!$O$2:$O$489,MATCH($A185,'2001'!$A$2:$A$489,0)),"")</f>
        <v/>
      </c>
      <c r="C185">
        <f>IFERROR(INDEX('2011'!$N$2:$N$490,MATCH($A185,'2011'!$A$2:$A$490,0)),"")</f>
        <v/>
      </c>
      <c r="D185" s="3">
        <f>IFERROR(INDEX('2001'!$Y$2:$Y$489,MATCH($A185,'2001'!$A$2:$A$489,0)),"")</f>
        <v/>
      </c>
      <c r="E185" s="3">
        <f>IFERROR(INDEX('2011'!$X$2:$X$490,MATCH($A185,'2011'!$A$2:$A$490,0)),"")</f>
        <v/>
      </c>
      <c r="F185" s="4">
        <f>IF(OR($D185="",$E185=""),"",$E185-$D185)</f>
        <v/>
      </c>
      <c r="G185">
        <f>IF(OR($B185="",$C185=""),"",$C185-$B185)</f>
        <v/>
      </c>
    </row>
    <row r="186">
      <c r="A186" s="2" t="n">
        <v>185</v>
      </c>
      <c r="B186">
        <f>IFERROR(INDEX('2001'!$O$2:$O$489,MATCH($A186,'2001'!$A$2:$A$489,0)),"")</f>
        <v/>
      </c>
      <c r="C186">
        <f>IFERROR(INDEX('2011'!$N$2:$N$490,MATCH($A186,'2011'!$A$2:$A$490,0)),"")</f>
        <v/>
      </c>
      <c r="D186" s="3">
        <f>IFERROR(INDEX('2001'!$Y$2:$Y$489,MATCH($A186,'2001'!$A$2:$A$489,0)),"")</f>
        <v/>
      </c>
      <c r="E186" s="3">
        <f>IFERROR(INDEX('2011'!$X$2:$X$490,MATCH($A186,'2011'!$A$2:$A$490,0)),"")</f>
        <v/>
      </c>
      <c r="F186" s="4">
        <f>IF(OR($D186="",$E186=""),"",$E186-$D186)</f>
        <v/>
      </c>
      <c r="G186">
        <f>IF(OR($B186="",$C186=""),"",$C186-$B186)</f>
        <v/>
      </c>
    </row>
    <row r="187">
      <c r="A187" s="2" t="n">
        <v>186</v>
      </c>
      <c r="B187">
        <f>IFERROR(INDEX('2001'!$O$2:$O$489,MATCH($A187,'2001'!$A$2:$A$489,0)),"")</f>
        <v/>
      </c>
      <c r="C187">
        <f>IFERROR(INDEX('2011'!$N$2:$N$490,MATCH($A187,'2011'!$A$2:$A$490,0)),"")</f>
        <v/>
      </c>
      <c r="D187" s="3">
        <f>IFERROR(INDEX('2001'!$Y$2:$Y$489,MATCH($A187,'2001'!$A$2:$A$489,0)),"")</f>
        <v/>
      </c>
      <c r="E187" s="3">
        <f>IFERROR(INDEX('2011'!$X$2:$X$490,MATCH($A187,'2011'!$A$2:$A$490,0)),"")</f>
        <v/>
      </c>
      <c r="F187" s="4">
        <f>IF(OR($D187="",$E187=""),"",$E187-$D187)</f>
        <v/>
      </c>
      <c r="G187">
        <f>IF(OR($B187="",$C187=""),"",$C187-$B187)</f>
        <v/>
      </c>
    </row>
    <row r="188">
      <c r="A188" s="2" t="n">
        <v>187</v>
      </c>
      <c r="B188">
        <f>IFERROR(INDEX('2001'!$O$2:$O$489,MATCH($A188,'2001'!$A$2:$A$489,0)),"")</f>
        <v/>
      </c>
      <c r="C188">
        <f>IFERROR(INDEX('2011'!$N$2:$N$490,MATCH($A188,'2011'!$A$2:$A$490,0)),"")</f>
        <v/>
      </c>
      <c r="D188" s="3">
        <f>IFERROR(INDEX('2001'!$Y$2:$Y$489,MATCH($A188,'2001'!$A$2:$A$489,0)),"")</f>
        <v/>
      </c>
      <c r="E188" s="3">
        <f>IFERROR(INDEX('2011'!$X$2:$X$490,MATCH($A188,'2011'!$A$2:$A$490,0)),"")</f>
        <v/>
      </c>
      <c r="F188" s="4">
        <f>IF(OR($D188="",$E188=""),"",$E188-$D188)</f>
        <v/>
      </c>
      <c r="G188">
        <f>IF(OR($B188="",$C188=""),"",$C188-$B188)</f>
        <v/>
      </c>
    </row>
    <row r="189">
      <c r="A189" s="2" t="n">
        <v>188</v>
      </c>
      <c r="B189">
        <f>IFERROR(INDEX('2001'!$O$2:$O$489,MATCH($A189,'2001'!$A$2:$A$489,0)),"")</f>
        <v/>
      </c>
      <c r="C189">
        <f>IFERROR(INDEX('2011'!$N$2:$N$490,MATCH($A189,'2011'!$A$2:$A$490,0)),"")</f>
        <v/>
      </c>
      <c r="D189" s="3">
        <f>IFERROR(INDEX('2001'!$Y$2:$Y$489,MATCH($A189,'2001'!$A$2:$A$489,0)),"")</f>
        <v/>
      </c>
      <c r="E189" s="3">
        <f>IFERROR(INDEX('2011'!$X$2:$X$490,MATCH($A189,'2011'!$A$2:$A$490,0)),"")</f>
        <v/>
      </c>
      <c r="F189" s="4">
        <f>IF(OR($D189="",$E189=""),"",$E189-$D189)</f>
        <v/>
      </c>
      <c r="G189">
        <f>IF(OR($B189="",$C189=""),"",$C189-$B189)</f>
        <v/>
      </c>
    </row>
    <row r="190">
      <c r="A190" s="2" t="n">
        <v>189</v>
      </c>
      <c r="B190">
        <f>IFERROR(INDEX('2001'!$O$2:$O$489,MATCH($A190,'2001'!$A$2:$A$489,0)),"")</f>
        <v/>
      </c>
      <c r="C190">
        <f>IFERROR(INDEX('2011'!$N$2:$N$490,MATCH($A190,'2011'!$A$2:$A$490,0)),"")</f>
        <v/>
      </c>
      <c r="D190" s="3">
        <f>IFERROR(INDEX('2001'!$Y$2:$Y$489,MATCH($A190,'2001'!$A$2:$A$489,0)),"")</f>
        <v/>
      </c>
      <c r="E190" s="3">
        <f>IFERROR(INDEX('2011'!$X$2:$X$490,MATCH($A190,'2011'!$A$2:$A$490,0)),"")</f>
        <v/>
      </c>
      <c r="F190" s="4">
        <f>IF(OR($D190="",$E190=""),"",$E190-$D190)</f>
        <v/>
      </c>
      <c r="G190">
        <f>IF(OR($B190="",$C190=""),"",$C190-$B190)</f>
        <v/>
      </c>
    </row>
    <row r="191">
      <c r="A191" s="2" t="n">
        <v>190</v>
      </c>
      <c r="B191">
        <f>IFERROR(INDEX('2001'!$O$2:$O$489,MATCH($A191,'2001'!$A$2:$A$489,0)),"")</f>
        <v/>
      </c>
      <c r="C191">
        <f>IFERROR(INDEX('2011'!$N$2:$N$490,MATCH($A191,'2011'!$A$2:$A$490,0)),"")</f>
        <v/>
      </c>
      <c r="D191" s="3">
        <f>IFERROR(INDEX('2001'!$Y$2:$Y$489,MATCH($A191,'2001'!$A$2:$A$489,0)),"")</f>
        <v/>
      </c>
      <c r="E191" s="3">
        <f>IFERROR(INDEX('2011'!$X$2:$X$490,MATCH($A191,'2011'!$A$2:$A$490,0)),"")</f>
        <v/>
      </c>
      <c r="F191" s="4">
        <f>IF(OR($D191="",$E191=""),"",$E191-$D191)</f>
        <v/>
      </c>
      <c r="G191">
        <f>IF(OR($B191="",$C191=""),"",$C191-$B191)</f>
        <v/>
      </c>
    </row>
    <row r="192">
      <c r="A192" s="2" t="n">
        <v>191</v>
      </c>
      <c r="B192">
        <f>IFERROR(INDEX('2001'!$O$2:$O$489,MATCH($A192,'2001'!$A$2:$A$489,0)),"")</f>
        <v/>
      </c>
      <c r="C192">
        <f>IFERROR(INDEX('2011'!$N$2:$N$490,MATCH($A192,'2011'!$A$2:$A$490,0)),"")</f>
        <v/>
      </c>
      <c r="D192" s="3">
        <f>IFERROR(INDEX('2001'!$Y$2:$Y$489,MATCH($A192,'2001'!$A$2:$A$489,0)),"")</f>
        <v/>
      </c>
      <c r="E192" s="3">
        <f>IFERROR(INDEX('2011'!$X$2:$X$490,MATCH($A192,'2011'!$A$2:$A$490,0)),"")</f>
        <v/>
      </c>
      <c r="F192" s="4">
        <f>IF(OR($D192="",$E192=""),"",$E192-$D192)</f>
        <v/>
      </c>
      <c r="G192">
        <f>IF(OR($B192="",$C192=""),"",$C192-$B192)</f>
        <v/>
      </c>
    </row>
    <row r="193">
      <c r="A193" s="2" t="n">
        <v>192</v>
      </c>
      <c r="B193">
        <f>IFERROR(INDEX('2001'!$O$2:$O$489,MATCH($A193,'2001'!$A$2:$A$489,0)),"")</f>
        <v/>
      </c>
      <c r="C193">
        <f>IFERROR(INDEX('2011'!$N$2:$N$490,MATCH($A193,'2011'!$A$2:$A$490,0)),"")</f>
        <v/>
      </c>
      <c r="D193" s="3">
        <f>IFERROR(INDEX('2001'!$Y$2:$Y$489,MATCH($A193,'2001'!$A$2:$A$489,0)),"")</f>
        <v/>
      </c>
      <c r="E193" s="3">
        <f>IFERROR(INDEX('2011'!$X$2:$X$490,MATCH($A193,'2011'!$A$2:$A$490,0)),"")</f>
        <v/>
      </c>
      <c r="F193" s="4">
        <f>IF(OR($D193="",$E193=""),"",$E193-$D193)</f>
        <v/>
      </c>
      <c r="G193">
        <f>IF(OR($B193="",$C193=""),"",$C193-$B193)</f>
        <v/>
      </c>
    </row>
    <row r="194">
      <c r="A194" s="2" t="n">
        <v>193</v>
      </c>
      <c r="B194">
        <f>IFERROR(INDEX('2001'!$O$2:$O$489,MATCH($A194,'2001'!$A$2:$A$489,0)),"")</f>
        <v/>
      </c>
      <c r="C194">
        <f>IFERROR(INDEX('2011'!$N$2:$N$490,MATCH($A194,'2011'!$A$2:$A$490,0)),"")</f>
        <v/>
      </c>
      <c r="D194" s="3">
        <f>IFERROR(INDEX('2001'!$Y$2:$Y$489,MATCH($A194,'2001'!$A$2:$A$489,0)),"")</f>
        <v/>
      </c>
      <c r="E194" s="3">
        <f>IFERROR(INDEX('2011'!$X$2:$X$490,MATCH($A194,'2011'!$A$2:$A$490,0)),"")</f>
        <v/>
      </c>
      <c r="F194" s="4">
        <f>IF(OR($D194="",$E194=""),"",$E194-$D194)</f>
        <v/>
      </c>
      <c r="G194">
        <f>IF(OR($B194="",$C194=""),"",$C194-$B194)</f>
        <v/>
      </c>
    </row>
    <row r="195">
      <c r="A195" s="2" t="n">
        <v>194</v>
      </c>
      <c r="B195">
        <f>IFERROR(INDEX('2001'!$O$2:$O$489,MATCH($A195,'2001'!$A$2:$A$489,0)),"")</f>
        <v/>
      </c>
      <c r="C195">
        <f>IFERROR(INDEX('2011'!$N$2:$N$490,MATCH($A195,'2011'!$A$2:$A$490,0)),"")</f>
        <v/>
      </c>
      <c r="D195" s="3">
        <f>IFERROR(INDEX('2001'!$Y$2:$Y$489,MATCH($A195,'2001'!$A$2:$A$489,0)),"")</f>
        <v/>
      </c>
      <c r="E195" s="3">
        <f>IFERROR(INDEX('2011'!$X$2:$X$490,MATCH($A195,'2011'!$A$2:$A$490,0)),"")</f>
        <v/>
      </c>
      <c r="F195" s="4">
        <f>IF(OR($D195="",$E195=""),"",$E195-$D195)</f>
        <v/>
      </c>
      <c r="G195">
        <f>IF(OR($B195="",$C195=""),"",$C195-$B195)</f>
        <v/>
      </c>
    </row>
    <row r="196">
      <c r="A196" s="2" t="n">
        <v>195</v>
      </c>
      <c r="B196">
        <f>IFERROR(INDEX('2001'!$O$2:$O$489,MATCH($A196,'2001'!$A$2:$A$489,0)),"")</f>
        <v/>
      </c>
      <c r="C196">
        <f>IFERROR(INDEX('2011'!$N$2:$N$490,MATCH($A196,'2011'!$A$2:$A$490,0)),"")</f>
        <v/>
      </c>
      <c r="D196" s="3">
        <f>IFERROR(INDEX('2001'!$Y$2:$Y$489,MATCH($A196,'2001'!$A$2:$A$489,0)),"")</f>
        <v/>
      </c>
      <c r="E196" s="3">
        <f>IFERROR(INDEX('2011'!$X$2:$X$490,MATCH($A196,'2011'!$A$2:$A$490,0)),"")</f>
        <v/>
      </c>
      <c r="F196" s="4">
        <f>IF(OR($D196="",$E196=""),"",$E196-$D196)</f>
        <v/>
      </c>
      <c r="G196">
        <f>IF(OR($B196="",$C196=""),"",$C196-$B196)</f>
        <v/>
      </c>
    </row>
    <row r="197">
      <c r="A197" s="2" t="n">
        <v>196</v>
      </c>
      <c r="B197">
        <f>IFERROR(INDEX('2001'!$O$2:$O$489,MATCH($A197,'2001'!$A$2:$A$489,0)),"")</f>
        <v/>
      </c>
      <c r="C197">
        <f>IFERROR(INDEX('2011'!$N$2:$N$490,MATCH($A197,'2011'!$A$2:$A$490,0)),"")</f>
        <v/>
      </c>
      <c r="D197" s="3">
        <f>IFERROR(INDEX('2001'!$Y$2:$Y$489,MATCH($A197,'2001'!$A$2:$A$489,0)),"")</f>
        <v/>
      </c>
      <c r="E197" s="3">
        <f>IFERROR(INDEX('2011'!$X$2:$X$490,MATCH($A197,'2011'!$A$2:$A$490,0)),"")</f>
        <v/>
      </c>
      <c r="F197" s="4">
        <f>IF(OR($D197="",$E197=""),"",$E197-$D197)</f>
        <v/>
      </c>
      <c r="G197">
        <f>IF(OR($B197="",$C197=""),"",$C197-$B197)</f>
        <v/>
      </c>
    </row>
    <row r="198">
      <c r="A198" s="2" t="n">
        <v>197</v>
      </c>
      <c r="B198">
        <f>IFERROR(INDEX('2001'!$O$2:$O$489,MATCH($A198,'2001'!$A$2:$A$489,0)),"")</f>
        <v/>
      </c>
      <c r="C198">
        <f>IFERROR(INDEX('2011'!$N$2:$N$490,MATCH($A198,'2011'!$A$2:$A$490,0)),"")</f>
        <v/>
      </c>
      <c r="D198" s="3">
        <f>IFERROR(INDEX('2001'!$Y$2:$Y$489,MATCH($A198,'2001'!$A$2:$A$489,0)),"")</f>
        <v/>
      </c>
      <c r="E198" s="3">
        <f>IFERROR(INDEX('2011'!$X$2:$X$490,MATCH($A198,'2011'!$A$2:$A$490,0)),"")</f>
        <v/>
      </c>
      <c r="F198" s="4">
        <f>IF(OR($D198="",$E198=""),"",$E198-$D198)</f>
        <v/>
      </c>
      <c r="G198">
        <f>IF(OR($B198="",$C198=""),"",$C198-$B198)</f>
        <v/>
      </c>
    </row>
    <row r="199">
      <c r="A199" s="2" t="n">
        <v>198</v>
      </c>
      <c r="B199">
        <f>IFERROR(INDEX('2001'!$O$2:$O$489,MATCH($A199,'2001'!$A$2:$A$489,0)),"")</f>
        <v/>
      </c>
      <c r="C199">
        <f>IFERROR(INDEX('2011'!$N$2:$N$490,MATCH($A199,'2011'!$A$2:$A$490,0)),"")</f>
        <v/>
      </c>
      <c r="D199" s="3">
        <f>IFERROR(INDEX('2001'!$Y$2:$Y$489,MATCH($A199,'2001'!$A$2:$A$489,0)),"")</f>
        <v/>
      </c>
      <c r="E199" s="3">
        <f>IFERROR(INDEX('2011'!$X$2:$X$490,MATCH($A199,'2011'!$A$2:$A$490,0)),"")</f>
        <v/>
      </c>
      <c r="F199" s="4">
        <f>IF(OR($D199="",$E199=""),"",$E199-$D199)</f>
        <v/>
      </c>
      <c r="G199">
        <f>IF(OR($B199="",$C199=""),"",$C199-$B199)</f>
        <v/>
      </c>
    </row>
    <row r="200">
      <c r="A200" s="2" t="n">
        <v>199</v>
      </c>
      <c r="B200">
        <f>IFERROR(INDEX('2001'!$O$2:$O$489,MATCH($A200,'2001'!$A$2:$A$489,0)),"")</f>
        <v/>
      </c>
      <c r="C200">
        <f>IFERROR(INDEX('2011'!$N$2:$N$490,MATCH($A200,'2011'!$A$2:$A$490,0)),"")</f>
        <v/>
      </c>
      <c r="D200" s="3">
        <f>IFERROR(INDEX('2001'!$Y$2:$Y$489,MATCH($A200,'2001'!$A$2:$A$489,0)),"")</f>
        <v/>
      </c>
      <c r="E200" s="3">
        <f>IFERROR(INDEX('2011'!$X$2:$X$490,MATCH($A200,'2011'!$A$2:$A$490,0)),"")</f>
        <v/>
      </c>
      <c r="F200" s="4">
        <f>IF(OR($D200="",$E200=""),"",$E200-$D200)</f>
        <v/>
      </c>
      <c r="G200">
        <f>IF(OR($B200="",$C200=""),"",$C200-$B200)</f>
        <v/>
      </c>
    </row>
    <row r="201">
      <c r="A201" s="2" t="n">
        <v>200</v>
      </c>
      <c r="B201">
        <f>IFERROR(INDEX('2001'!$O$2:$O$489,MATCH($A201,'2001'!$A$2:$A$489,0)),"")</f>
        <v/>
      </c>
      <c r="C201">
        <f>IFERROR(INDEX('2011'!$N$2:$N$490,MATCH($A201,'2011'!$A$2:$A$490,0)),"")</f>
        <v/>
      </c>
      <c r="D201" s="3">
        <f>IFERROR(INDEX('2001'!$Y$2:$Y$489,MATCH($A201,'2001'!$A$2:$A$489,0)),"")</f>
        <v/>
      </c>
      <c r="E201" s="3">
        <f>IFERROR(INDEX('2011'!$X$2:$X$490,MATCH($A201,'2011'!$A$2:$A$490,0)),"")</f>
        <v/>
      </c>
      <c r="F201" s="4">
        <f>IF(OR($D201="",$E201=""),"",$E201-$D201)</f>
        <v/>
      </c>
      <c r="G201">
        <f>IF(OR($B201="",$C201=""),"",$C201-$B201)</f>
        <v/>
      </c>
    </row>
    <row r="202">
      <c r="A202" s="2" t="n">
        <v>201</v>
      </c>
      <c r="B202">
        <f>IFERROR(INDEX('2001'!$O$2:$O$489,MATCH($A202,'2001'!$A$2:$A$489,0)),"")</f>
        <v/>
      </c>
      <c r="C202">
        <f>IFERROR(INDEX('2011'!$N$2:$N$490,MATCH($A202,'2011'!$A$2:$A$490,0)),"")</f>
        <v/>
      </c>
      <c r="D202" s="3">
        <f>IFERROR(INDEX('2001'!$Y$2:$Y$489,MATCH($A202,'2001'!$A$2:$A$489,0)),"")</f>
        <v/>
      </c>
      <c r="E202" s="3">
        <f>IFERROR(INDEX('2011'!$X$2:$X$490,MATCH($A202,'2011'!$A$2:$A$490,0)),"")</f>
        <v/>
      </c>
      <c r="F202" s="4">
        <f>IF(OR($D202="",$E202=""),"",$E202-$D202)</f>
        <v/>
      </c>
      <c r="G202">
        <f>IF(OR($B202="",$C202=""),"",$C202-$B202)</f>
        <v/>
      </c>
    </row>
    <row r="203">
      <c r="A203" s="2" t="n">
        <v>202</v>
      </c>
      <c r="B203">
        <f>IFERROR(INDEX('2001'!$O$2:$O$489,MATCH($A203,'2001'!$A$2:$A$489,0)),"")</f>
        <v/>
      </c>
      <c r="C203">
        <f>IFERROR(INDEX('2011'!$N$2:$N$490,MATCH($A203,'2011'!$A$2:$A$490,0)),"")</f>
        <v/>
      </c>
      <c r="D203" s="3">
        <f>IFERROR(INDEX('2001'!$Y$2:$Y$489,MATCH($A203,'2001'!$A$2:$A$489,0)),"")</f>
        <v/>
      </c>
      <c r="E203" s="3">
        <f>IFERROR(INDEX('2011'!$X$2:$X$490,MATCH($A203,'2011'!$A$2:$A$490,0)),"")</f>
        <v/>
      </c>
      <c r="F203" s="4">
        <f>IF(OR($D203="",$E203=""),"",$E203-$D203)</f>
        <v/>
      </c>
      <c r="G203">
        <f>IF(OR($B203="",$C203=""),"",$C203-$B203)</f>
        <v/>
      </c>
    </row>
    <row r="204">
      <c r="A204" s="2" t="n">
        <v>203</v>
      </c>
      <c r="B204">
        <f>IFERROR(INDEX('2001'!$O$2:$O$489,MATCH($A204,'2001'!$A$2:$A$489,0)),"")</f>
        <v/>
      </c>
      <c r="C204">
        <f>IFERROR(INDEX('2011'!$N$2:$N$490,MATCH($A204,'2011'!$A$2:$A$490,0)),"")</f>
        <v/>
      </c>
      <c r="D204" s="3">
        <f>IFERROR(INDEX('2001'!$Y$2:$Y$489,MATCH($A204,'2001'!$A$2:$A$489,0)),"")</f>
        <v/>
      </c>
      <c r="E204" s="3">
        <f>IFERROR(INDEX('2011'!$X$2:$X$490,MATCH($A204,'2011'!$A$2:$A$490,0)),"")</f>
        <v/>
      </c>
      <c r="F204" s="4">
        <f>IF(OR($D204="",$E204=""),"",$E204-$D204)</f>
        <v/>
      </c>
      <c r="G204">
        <f>IF(OR($B204="",$C204=""),"",$C204-$B204)</f>
        <v/>
      </c>
    </row>
    <row r="205">
      <c r="A205" s="2" t="n">
        <v>204</v>
      </c>
      <c r="B205">
        <f>IFERROR(INDEX('2001'!$O$2:$O$489,MATCH($A205,'2001'!$A$2:$A$489,0)),"")</f>
        <v/>
      </c>
      <c r="C205">
        <f>IFERROR(INDEX('2011'!$N$2:$N$490,MATCH($A205,'2011'!$A$2:$A$490,0)),"")</f>
        <v/>
      </c>
      <c r="D205" s="3">
        <f>IFERROR(INDEX('2001'!$Y$2:$Y$489,MATCH($A205,'2001'!$A$2:$A$489,0)),"")</f>
        <v/>
      </c>
      <c r="E205" s="3">
        <f>IFERROR(INDEX('2011'!$X$2:$X$490,MATCH($A205,'2011'!$A$2:$A$490,0)),"")</f>
        <v/>
      </c>
      <c r="F205" s="4">
        <f>IF(OR($D205="",$E205=""),"",$E205-$D205)</f>
        <v/>
      </c>
      <c r="G205">
        <f>IF(OR($B205="",$C205=""),"",$C205-$B205)</f>
        <v/>
      </c>
    </row>
    <row r="206">
      <c r="A206" s="2" t="n">
        <v>205</v>
      </c>
      <c r="B206">
        <f>IFERROR(INDEX('2001'!$O$2:$O$489,MATCH($A206,'2001'!$A$2:$A$489,0)),"")</f>
        <v/>
      </c>
      <c r="C206">
        <f>IFERROR(INDEX('2011'!$N$2:$N$490,MATCH($A206,'2011'!$A$2:$A$490,0)),"")</f>
        <v/>
      </c>
      <c r="D206" s="3">
        <f>IFERROR(INDEX('2001'!$Y$2:$Y$489,MATCH($A206,'2001'!$A$2:$A$489,0)),"")</f>
        <v/>
      </c>
      <c r="E206" s="3">
        <f>IFERROR(INDEX('2011'!$X$2:$X$490,MATCH($A206,'2011'!$A$2:$A$490,0)),"")</f>
        <v/>
      </c>
      <c r="F206" s="4">
        <f>IF(OR($D206="",$E206=""),"",$E206-$D206)</f>
        <v/>
      </c>
      <c r="G206">
        <f>IF(OR($B206="",$C206=""),"",$C206-$B206)</f>
        <v/>
      </c>
    </row>
    <row r="207">
      <c r="A207" s="2" t="n">
        <v>206</v>
      </c>
      <c r="B207">
        <f>IFERROR(INDEX('2001'!$O$2:$O$489,MATCH($A207,'2001'!$A$2:$A$489,0)),"")</f>
        <v/>
      </c>
      <c r="C207">
        <f>IFERROR(INDEX('2011'!$N$2:$N$490,MATCH($A207,'2011'!$A$2:$A$490,0)),"")</f>
        <v/>
      </c>
      <c r="D207" s="3">
        <f>IFERROR(INDEX('2001'!$Y$2:$Y$489,MATCH($A207,'2001'!$A$2:$A$489,0)),"")</f>
        <v/>
      </c>
      <c r="E207" s="3">
        <f>IFERROR(INDEX('2011'!$X$2:$X$490,MATCH($A207,'2011'!$A$2:$A$490,0)),"")</f>
        <v/>
      </c>
      <c r="F207" s="4">
        <f>IF(OR($D207="",$E207=""),"",$E207-$D207)</f>
        <v/>
      </c>
      <c r="G207">
        <f>IF(OR($B207="",$C207=""),"",$C207-$B207)</f>
        <v/>
      </c>
    </row>
    <row r="208">
      <c r="A208" s="2" t="n">
        <v>207</v>
      </c>
      <c r="B208">
        <f>IFERROR(INDEX('2001'!$O$2:$O$489,MATCH($A208,'2001'!$A$2:$A$489,0)),"")</f>
        <v/>
      </c>
      <c r="C208">
        <f>IFERROR(INDEX('2011'!$N$2:$N$490,MATCH($A208,'2011'!$A$2:$A$490,0)),"")</f>
        <v/>
      </c>
      <c r="D208" s="3">
        <f>IFERROR(INDEX('2001'!$Y$2:$Y$489,MATCH($A208,'2001'!$A$2:$A$489,0)),"")</f>
        <v/>
      </c>
      <c r="E208" s="3">
        <f>IFERROR(INDEX('2011'!$X$2:$X$490,MATCH($A208,'2011'!$A$2:$A$490,0)),"")</f>
        <v/>
      </c>
      <c r="F208" s="4">
        <f>IF(OR($D208="",$E208=""),"",$E208-$D208)</f>
        <v/>
      </c>
      <c r="G208">
        <f>IF(OR($B208="",$C208=""),"",$C208-$B208)</f>
        <v/>
      </c>
    </row>
    <row r="209">
      <c r="A209" s="2" t="n">
        <v>208</v>
      </c>
      <c r="B209">
        <f>IFERROR(INDEX('2001'!$O$2:$O$489,MATCH($A209,'2001'!$A$2:$A$489,0)),"")</f>
        <v/>
      </c>
      <c r="C209">
        <f>IFERROR(INDEX('2011'!$N$2:$N$490,MATCH($A209,'2011'!$A$2:$A$490,0)),"")</f>
        <v/>
      </c>
      <c r="D209" s="3">
        <f>IFERROR(INDEX('2001'!$Y$2:$Y$489,MATCH($A209,'2001'!$A$2:$A$489,0)),"")</f>
        <v/>
      </c>
      <c r="E209" s="3">
        <f>IFERROR(INDEX('2011'!$X$2:$X$490,MATCH($A209,'2011'!$A$2:$A$490,0)),"")</f>
        <v/>
      </c>
      <c r="F209" s="4">
        <f>IF(OR($D209="",$E209=""),"",$E209-$D209)</f>
        <v/>
      </c>
      <c r="G209">
        <f>IF(OR($B209="",$C209=""),"",$C209-$B209)</f>
        <v/>
      </c>
    </row>
    <row r="210">
      <c r="A210" s="2" t="n">
        <v>209</v>
      </c>
      <c r="B210">
        <f>IFERROR(INDEX('2001'!$O$2:$O$489,MATCH($A210,'2001'!$A$2:$A$489,0)),"")</f>
        <v/>
      </c>
      <c r="C210">
        <f>IFERROR(INDEX('2011'!$N$2:$N$490,MATCH($A210,'2011'!$A$2:$A$490,0)),"")</f>
        <v/>
      </c>
      <c r="D210" s="3">
        <f>IFERROR(INDEX('2001'!$Y$2:$Y$489,MATCH($A210,'2001'!$A$2:$A$489,0)),"")</f>
        <v/>
      </c>
      <c r="E210" s="3">
        <f>IFERROR(INDEX('2011'!$X$2:$X$490,MATCH($A210,'2011'!$A$2:$A$490,0)),"")</f>
        <v/>
      </c>
      <c r="F210" s="4">
        <f>IF(OR($D210="",$E210=""),"",$E210-$D210)</f>
        <v/>
      </c>
      <c r="G210">
        <f>IF(OR($B210="",$C210=""),"",$C210-$B210)</f>
        <v/>
      </c>
    </row>
    <row r="211">
      <c r="A211" s="2" t="n">
        <v>210</v>
      </c>
      <c r="B211">
        <f>IFERROR(INDEX('2001'!$O$2:$O$489,MATCH($A211,'2001'!$A$2:$A$489,0)),"")</f>
        <v/>
      </c>
      <c r="C211">
        <f>IFERROR(INDEX('2011'!$N$2:$N$490,MATCH($A211,'2011'!$A$2:$A$490,0)),"")</f>
        <v/>
      </c>
      <c r="D211" s="3">
        <f>IFERROR(INDEX('2001'!$Y$2:$Y$489,MATCH($A211,'2001'!$A$2:$A$489,0)),"")</f>
        <v/>
      </c>
      <c r="E211" s="3">
        <f>IFERROR(INDEX('2011'!$X$2:$X$490,MATCH($A211,'2011'!$A$2:$A$490,0)),"")</f>
        <v/>
      </c>
      <c r="F211" s="4">
        <f>IF(OR($D211="",$E211=""),"",$E211-$D211)</f>
        <v/>
      </c>
      <c r="G211">
        <f>IF(OR($B211="",$C211=""),"",$C211-$B211)</f>
        <v/>
      </c>
    </row>
    <row r="212">
      <c r="A212" s="2" t="n">
        <v>211</v>
      </c>
      <c r="B212">
        <f>IFERROR(INDEX('2001'!$O$2:$O$489,MATCH($A212,'2001'!$A$2:$A$489,0)),"")</f>
        <v/>
      </c>
      <c r="C212">
        <f>IFERROR(INDEX('2011'!$N$2:$N$490,MATCH($A212,'2011'!$A$2:$A$490,0)),"")</f>
        <v/>
      </c>
      <c r="D212" s="3">
        <f>IFERROR(INDEX('2001'!$Y$2:$Y$489,MATCH($A212,'2001'!$A$2:$A$489,0)),"")</f>
        <v/>
      </c>
      <c r="E212" s="3">
        <f>IFERROR(INDEX('2011'!$X$2:$X$490,MATCH($A212,'2011'!$A$2:$A$490,0)),"")</f>
        <v/>
      </c>
      <c r="F212" s="4">
        <f>IF(OR($D212="",$E212=""),"",$E212-$D212)</f>
        <v/>
      </c>
      <c r="G212">
        <f>IF(OR($B212="",$C212=""),"",$C212-$B212)</f>
        <v/>
      </c>
    </row>
    <row r="213">
      <c r="A213" s="2" t="n">
        <v>212</v>
      </c>
      <c r="B213">
        <f>IFERROR(INDEX('2001'!$O$2:$O$489,MATCH($A213,'2001'!$A$2:$A$489,0)),"")</f>
        <v/>
      </c>
      <c r="C213">
        <f>IFERROR(INDEX('2011'!$N$2:$N$490,MATCH($A213,'2011'!$A$2:$A$490,0)),"")</f>
        <v/>
      </c>
      <c r="D213" s="3">
        <f>IFERROR(INDEX('2001'!$Y$2:$Y$489,MATCH($A213,'2001'!$A$2:$A$489,0)),"")</f>
        <v/>
      </c>
      <c r="E213" s="3">
        <f>IFERROR(INDEX('2011'!$X$2:$X$490,MATCH($A213,'2011'!$A$2:$A$490,0)),"")</f>
        <v/>
      </c>
      <c r="F213" s="4">
        <f>IF(OR($D213="",$E213=""),"",$E213-$D213)</f>
        <v/>
      </c>
      <c r="G213">
        <f>IF(OR($B213="",$C213=""),"",$C213-$B213)</f>
        <v/>
      </c>
    </row>
    <row r="214">
      <c r="A214" s="2" t="n">
        <v>213</v>
      </c>
      <c r="B214">
        <f>IFERROR(INDEX('2001'!$O$2:$O$489,MATCH($A214,'2001'!$A$2:$A$489,0)),"")</f>
        <v/>
      </c>
      <c r="C214">
        <f>IFERROR(INDEX('2011'!$N$2:$N$490,MATCH($A214,'2011'!$A$2:$A$490,0)),"")</f>
        <v/>
      </c>
      <c r="D214" s="3">
        <f>IFERROR(INDEX('2001'!$Y$2:$Y$489,MATCH($A214,'2001'!$A$2:$A$489,0)),"")</f>
        <v/>
      </c>
      <c r="E214" s="3">
        <f>IFERROR(INDEX('2011'!$X$2:$X$490,MATCH($A214,'2011'!$A$2:$A$490,0)),"")</f>
        <v/>
      </c>
      <c r="F214" s="4">
        <f>IF(OR($D214="",$E214=""),"",$E214-$D214)</f>
        <v/>
      </c>
      <c r="G214">
        <f>IF(OR($B214="",$C214=""),"",$C214-$B214)</f>
        <v/>
      </c>
    </row>
    <row r="215">
      <c r="A215" s="2" t="n">
        <v>214</v>
      </c>
      <c r="B215">
        <f>IFERROR(INDEX('2001'!$O$2:$O$489,MATCH($A215,'2001'!$A$2:$A$489,0)),"")</f>
        <v/>
      </c>
      <c r="C215">
        <f>IFERROR(INDEX('2011'!$N$2:$N$490,MATCH($A215,'2011'!$A$2:$A$490,0)),"")</f>
        <v/>
      </c>
      <c r="D215" s="3">
        <f>IFERROR(INDEX('2001'!$Y$2:$Y$489,MATCH($A215,'2001'!$A$2:$A$489,0)),"")</f>
        <v/>
      </c>
      <c r="E215" s="3">
        <f>IFERROR(INDEX('2011'!$X$2:$X$490,MATCH($A215,'2011'!$A$2:$A$490,0)),"")</f>
        <v/>
      </c>
      <c r="F215" s="4">
        <f>IF(OR($D215="",$E215=""),"",$E215-$D215)</f>
        <v/>
      </c>
      <c r="G215">
        <f>IF(OR($B215="",$C215=""),"",$C215-$B215)</f>
        <v/>
      </c>
    </row>
    <row r="216">
      <c r="A216" s="2" t="n">
        <v>215</v>
      </c>
      <c r="B216">
        <f>IFERROR(INDEX('2001'!$O$2:$O$489,MATCH($A216,'2001'!$A$2:$A$489,0)),"")</f>
        <v/>
      </c>
      <c r="C216">
        <f>IFERROR(INDEX('2011'!$N$2:$N$490,MATCH($A216,'2011'!$A$2:$A$490,0)),"")</f>
        <v/>
      </c>
      <c r="D216" s="3">
        <f>IFERROR(INDEX('2001'!$Y$2:$Y$489,MATCH($A216,'2001'!$A$2:$A$489,0)),"")</f>
        <v/>
      </c>
      <c r="E216" s="3">
        <f>IFERROR(INDEX('2011'!$X$2:$X$490,MATCH($A216,'2011'!$A$2:$A$490,0)),"")</f>
        <v/>
      </c>
      <c r="F216" s="4">
        <f>IF(OR($D216="",$E216=""),"",$E216-$D216)</f>
        <v/>
      </c>
      <c r="G216">
        <f>IF(OR($B216="",$C216=""),"",$C216-$B216)</f>
        <v/>
      </c>
    </row>
    <row r="217">
      <c r="A217" s="2" t="n">
        <v>216</v>
      </c>
      <c r="B217">
        <f>IFERROR(INDEX('2001'!$O$2:$O$489,MATCH($A217,'2001'!$A$2:$A$489,0)),"")</f>
        <v/>
      </c>
      <c r="C217">
        <f>IFERROR(INDEX('2011'!$N$2:$N$490,MATCH($A217,'2011'!$A$2:$A$490,0)),"")</f>
        <v/>
      </c>
      <c r="D217" s="3">
        <f>IFERROR(INDEX('2001'!$Y$2:$Y$489,MATCH($A217,'2001'!$A$2:$A$489,0)),"")</f>
        <v/>
      </c>
      <c r="E217" s="3">
        <f>IFERROR(INDEX('2011'!$X$2:$X$490,MATCH($A217,'2011'!$A$2:$A$490,0)),"")</f>
        <v/>
      </c>
      <c r="F217" s="4">
        <f>IF(OR($D217="",$E217=""),"",$E217-$D217)</f>
        <v/>
      </c>
      <c r="G217">
        <f>IF(OR($B217="",$C217=""),"",$C217-$B217)</f>
        <v/>
      </c>
    </row>
    <row r="218">
      <c r="A218" s="2" t="n">
        <v>217</v>
      </c>
      <c r="B218">
        <f>IFERROR(INDEX('2001'!$O$2:$O$489,MATCH($A218,'2001'!$A$2:$A$489,0)),"")</f>
        <v/>
      </c>
      <c r="C218">
        <f>IFERROR(INDEX('2011'!$N$2:$N$490,MATCH($A218,'2011'!$A$2:$A$490,0)),"")</f>
        <v/>
      </c>
      <c r="D218" s="3">
        <f>IFERROR(INDEX('2001'!$Y$2:$Y$489,MATCH($A218,'2001'!$A$2:$A$489,0)),"")</f>
        <v/>
      </c>
      <c r="E218" s="3">
        <f>IFERROR(INDEX('2011'!$X$2:$X$490,MATCH($A218,'2011'!$A$2:$A$490,0)),"")</f>
        <v/>
      </c>
      <c r="F218" s="4">
        <f>IF(OR($D218="",$E218=""),"",$E218-$D218)</f>
        <v/>
      </c>
      <c r="G218">
        <f>IF(OR($B218="",$C218=""),"",$C218-$B218)</f>
        <v/>
      </c>
    </row>
    <row r="219">
      <c r="A219" s="2" t="n">
        <v>218</v>
      </c>
      <c r="B219">
        <f>IFERROR(INDEX('2001'!$O$2:$O$489,MATCH($A219,'2001'!$A$2:$A$489,0)),"")</f>
        <v/>
      </c>
      <c r="C219">
        <f>IFERROR(INDEX('2011'!$N$2:$N$490,MATCH($A219,'2011'!$A$2:$A$490,0)),"")</f>
        <v/>
      </c>
      <c r="D219" s="3">
        <f>IFERROR(INDEX('2001'!$Y$2:$Y$489,MATCH($A219,'2001'!$A$2:$A$489,0)),"")</f>
        <v/>
      </c>
      <c r="E219" s="3">
        <f>IFERROR(INDEX('2011'!$X$2:$X$490,MATCH($A219,'2011'!$A$2:$A$490,0)),"")</f>
        <v/>
      </c>
      <c r="F219" s="4">
        <f>IF(OR($D219="",$E219=""),"",$E219-$D219)</f>
        <v/>
      </c>
      <c r="G219">
        <f>IF(OR($B219="",$C219=""),"",$C219-$B219)</f>
        <v/>
      </c>
    </row>
    <row r="220">
      <c r="A220" s="2" t="n">
        <v>219</v>
      </c>
      <c r="B220">
        <f>IFERROR(INDEX('2001'!$O$2:$O$489,MATCH($A220,'2001'!$A$2:$A$489,0)),"")</f>
        <v/>
      </c>
      <c r="C220">
        <f>IFERROR(INDEX('2011'!$N$2:$N$490,MATCH($A220,'2011'!$A$2:$A$490,0)),"")</f>
        <v/>
      </c>
      <c r="D220" s="3">
        <f>IFERROR(INDEX('2001'!$Y$2:$Y$489,MATCH($A220,'2001'!$A$2:$A$489,0)),"")</f>
        <v/>
      </c>
      <c r="E220" s="3">
        <f>IFERROR(INDEX('2011'!$X$2:$X$490,MATCH($A220,'2011'!$A$2:$A$490,0)),"")</f>
        <v/>
      </c>
      <c r="F220" s="4">
        <f>IF(OR($D220="",$E220=""),"",$E220-$D220)</f>
        <v/>
      </c>
      <c r="G220">
        <f>IF(OR($B220="",$C220=""),"",$C220-$B220)</f>
        <v/>
      </c>
    </row>
    <row r="221">
      <c r="A221" s="2" t="n">
        <v>220</v>
      </c>
      <c r="B221">
        <f>IFERROR(INDEX('2001'!$O$2:$O$489,MATCH($A221,'2001'!$A$2:$A$489,0)),"")</f>
        <v/>
      </c>
      <c r="C221">
        <f>IFERROR(INDEX('2011'!$N$2:$N$490,MATCH($A221,'2011'!$A$2:$A$490,0)),"")</f>
        <v/>
      </c>
      <c r="D221" s="3">
        <f>IFERROR(INDEX('2001'!$Y$2:$Y$489,MATCH($A221,'2001'!$A$2:$A$489,0)),"")</f>
        <v/>
      </c>
      <c r="E221" s="3">
        <f>IFERROR(INDEX('2011'!$X$2:$X$490,MATCH($A221,'2011'!$A$2:$A$490,0)),"")</f>
        <v/>
      </c>
      <c r="F221" s="4">
        <f>IF(OR($D221="",$E221=""),"",$E221-$D221)</f>
        <v/>
      </c>
      <c r="G221">
        <f>IF(OR($B221="",$C221=""),"",$C221-$B221)</f>
        <v/>
      </c>
    </row>
    <row r="222">
      <c r="A222" s="2" t="n">
        <v>221</v>
      </c>
      <c r="B222">
        <f>IFERROR(INDEX('2001'!$O$2:$O$489,MATCH($A222,'2001'!$A$2:$A$489,0)),"")</f>
        <v/>
      </c>
      <c r="C222">
        <f>IFERROR(INDEX('2011'!$N$2:$N$490,MATCH($A222,'2011'!$A$2:$A$490,0)),"")</f>
        <v/>
      </c>
      <c r="D222" s="3">
        <f>IFERROR(INDEX('2001'!$Y$2:$Y$489,MATCH($A222,'2001'!$A$2:$A$489,0)),"")</f>
        <v/>
      </c>
      <c r="E222" s="3">
        <f>IFERROR(INDEX('2011'!$X$2:$X$490,MATCH($A222,'2011'!$A$2:$A$490,0)),"")</f>
        <v/>
      </c>
      <c r="F222" s="4">
        <f>IF(OR($D222="",$E222=""),"",$E222-$D222)</f>
        <v/>
      </c>
      <c r="G222">
        <f>IF(OR($B222="",$C222=""),"",$C222-$B222)</f>
        <v/>
      </c>
    </row>
    <row r="223">
      <c r="A223" s="2" t="n">
        <v>222</v>
      </c>
      <c r="B223">
        <f>IFERROR(INDEX('2001'!$O$2:$O$489,MATCH($A223,'2001'!$A$2:$A$489,0)),"")</f>
        <v/>
      </c>
      <c r="C223">
        <f>IFERROR(INDEX('2011'!$N$2:$N$490,MATCH($A223,'2011'!$A$2:$A$490,0)),"")</f>
        <v/>
      </c>
      <c r="D223" s="3">
        <f>IFERROR(INDEX('2001'!$Y$2:$Y$489,MATCH($A223,'2001'!$A$2:$A$489,0)),"")</f>
        <v/>
      </c>
      <c r="E223" s="3">
        <f>IFERROR(INDEX('2011'!$X$2:$X$490,MATCH($A223,'2011'!$A$2:$A$490,0)),"")</f>
        <v/>
      </c>
      <c r="F223" s="4">
        <f>IF(OR($D223="",$E223=""),"",$E223-$D223)</f>
        <v/>
      </c>
      <c r="G223">
        <f>IF(OR($B223="",$C223=""),"",$C223-$B223)</f>
        <v/>
      </c>
    </row>
    <row r="224">
      <c r="A224" s="2" t="n">
        <v>223</v>
      </c>
      <c r="B224">
        <f>IFERROR(INDEX('2001'!$O$2:$O$489,MATCH($A224,'2001'!$A$2:$A$489,0)),"")</f>
        <v/>
      </c>
      <c r="C224">
        <f>IFERROR(INDEX('2011'!$N$2:$N$490,MATCH($A224,'2011'!$A$2:$A$490,0)),"")</f>
        <v/>
      </c>
      <c r="D224" s="3">
        <f>IFERROR(INDEX('2001'!$Y$2:$Y$489,MATCH($A224,'2001'!$A$2:$A$489,0)),"")</f>
        <v/>
      </c>
      <c r="E224" s="3">
        <f>IFERROR(INDEX('2011'!$X$2:$X$490,MATCH($A224,'2011'!$A$2:$A$490,0)),"")</f>
        <v/>
      </c>
      <c r="F224" s="4">
        <f>IF(OR($D224="",$E224=""),"",$E224-$D224)</f>
        <v/>
      </c>
      <c r="G224">
        <f>IF(OR($B224="",$C224=""),"",$C224-$B224)</f>
        <v/>
      </c>
    </row>
    <row r="225">
      <c r="A225" s="2" t="n">
        <v>224</v>
      </c>
      <c r="B225">
        <f>IFERROR(INDEX('2001'!$O$2:$O$489,MATCH($A225,'2001'!$A$2:$A$489,0)),"")</f>
        <v/>
      </c>
      <c r="C225">
        <f>IFERROR(INDEX('2011'!$N$2:$N$490,MATCH($A225,'2011'!$A$2:$A$490,0)),"")</f>
        <v/>
      </c>
      <c r="D225" s="3">
        <f>IFERROR(INDEX('2001'!$Y$2:$Y$489,MATCH($A225,'2001'!$A$2:$A$489,0)),"")</f>
        <v/>
      </c>
      <c r="E225" s="3">
        <f>IFERROR(INDEX('2011'!$X$2:$X$490,MATCH($A225,'2011'!$A$2:$A$490,0)),"")</f>
        <v/>
      </c>
      <c r="F225" s="4">
        <f>IF(OR($D225="",$E225=""),"",$E225-$D225)</f>
        <v/>
      </c>
      <c r="G225">
        <f>IF(OR($B225="",$C225=""),"",$C225-$B225)</f>
        <v/>
      </c>
    </row>
    <row r="226">
      <c r="A226" s="2" t="n">
        <v>225</v>
      </c>
      <c r="B226">
        <f>IFERROR(INDEX('2001'!$O$2:$O$489,MATCH($A226,'2001'!$A$2:$A$489,0)),"")</f>
        <v/>
      </c>
      <c r="C226">
        <f>IFERROR(INDEX('2011'!$N$2:$N$490,MATCH($A226,'2011'!$A$2:$A$490,0)),"")</f>
        <v/>
      </c>
      <c r="D226" s="3">
        <f>IFERROR(INDEX('2001'!$Y$2:$Y$489,MATCH($A226,'2001'!$A$2:$A$489,0)),"")</f>
        <v/>
      </c>
      <c r="E226" s="3">
        <f>IFERROR(INDEX('2011'!$X$2:$X$490,MATCH($A226,'2011'!$A$2:$A$490,0)),"")</f>
        <v/>
      </c>
      <c r="F226" s="4">
        <f>IF(OR($D226="",$E226=""),"",$E226-$D226)</f>
        <v/>
      </c>
      <c r="G226">
        <f>IF(OR($B226="",$C226=""),"",$C226-$B226)</f>
        <v/>
      </c>
    </row>
    <row r="227">
      <c r="A227" s="2" t="n">
        <v>226</v>
      </c>
      <c r="B227">
        <f>IFERROR(INDEX('2001'!$O$2:$O$489,MATCH($A227,'2001'!$A$2:$A$489,0)),"")</f>
        <v/>
      </c>
      <c r="C227">
        <f>IFERROR(INDEX('2011'!$N$2:$N$490,MATCH($A227,'2011'!$A$2:$A$490,0)),"")</f>
        <v/>
      </c>
      <c r="D227" s="3">
        <f>IFERROR(INDEX('2001'!$Y$2:$Y$489,MATCH($A227,'2001'!$A$2:$A$489,0)),"")</f>
        <v/>
      </c>
      <c r="E227" s="3">
        <f>IFERROR(INDEX('2011'!$X$2:$X$490,MATCH($A227,'2011'!$A$2:$A$490,0)),"")</f>
        <v/>
      </c>
      <c r="F227" s="4">
        <f>IF(OR($D227="",$E227=""),"",$E227-$D227)</f>
        <v/>
      </c>
      <c r="G227">
        <f>IF(OR($B227="",$C227=""),"",$C227-$B227)</f>
        <v/>
      </c>
    </row>
    <row r="228">
      <c r="A228" s="2" t="n">
        <v>227</v>
      </c>
      <c r="B228">
        <f>IFERROR(INDEX('2001'!$O$2:$O$489,MATCH($A228,'2001'!$A$2:$A$489,0)),"")</f>
        <v/>
      </c>
      <c r="C228">
        <f>IFERROR(INDEX('2011'!$N$2:$N$490,MATCH($A228,'2011'!$A$2:$A$490,0)),"")</f>
        <v/>
      </c>
      <c r="D228" s="3">
        <f>IFERROR(INDEX('2001'!$Y$2:$Y$489,MATCH($A228,'2001'!$A$2:$A$489,0)),"")</f>
        <v/>
      </c>
      <c r="E228" s="3">
        <f>IFERROR(INDEX('2011'!$X$2:$X$490,MATCH($A228,'2011'!$A$2:$A$490,0)),"")</f>
        <v/>
      </c>
      <c r="F228" s="4">
        <f>IF(OR($D228="",$E228=""),"",$E228-$D228)</f>
        <v/>
      </c>
      <c r="G228">
        <f>IF(OR($B228="",$C228=""),"",$C228-$B228)</f>
        <v/>
      </c>
    </row>
    <row r="229">
      <c r="A229" s="2" t="n">
        <v>228</v>
      </c>
      <c r="B229">
        <f>IFERROR(INDEX('2001'!$O$2:$O$489,MATCH($A229,'2001'!$A$2:$A$489,0)),"")</f>
        <v/>
      </c>
      <c r="C229">
        <f>IFERROR(INDEX('2011'!$N$2:$N$490,MATCH($A229,'2011'!$A$2:$A$490,0)),"")</f>
        <v/>
      </c>
      <c r="D229" s="3">
        <f>IFERROR(INDEX('2001'!$Y$2:$Y$489,MATCH($A229,'2001'!$A$2:$A$489,0)),"")</f>
        <v/>
      </c>
      <c r="E229" s="3">
        <f>IFERROR(INDEX('2011'!$X$2:$X$490,MATCH($A229,'2011'!$A$2:$A$490,0)),"")</f>
        <v/>
      </c>
      <c r="F229" s="4">
        <f>IF(OR($D229="",$E229=""),"",$E229-$D229)</f>
        <v/>
      </c>
      <c r="G229">
        <f>IF(OR($B229="",$C229=""),"",$C229-$B229)</f>
        <v/>
      </c>
    </row>
    <row r="230">
      <c r="A230" s="2" t="n">
        <v>229</v>
      </c>
      <c r="B230">
        <f>IFERROR(INDEX('2001'!$O$2:$O$489,MATCH($A230,'2001'!$A$2:$A$489,0)),"")</f>
        <v/>
      </c>
      <c r="C230">
        <f>IFERROR(INDEX('2011'!$N$2:$N$490,MATCH($A230,'2011'!$A$2:$A$490,0)),"")</f>
        <v/>
      </c>
      <c r="D230" s="3">
        <f>IFERROR(INDEX('2001'!$Y$2:$Y$489,MATCH($A230,'2001'!$A$2:$A$489,0)),"")</f>
        <v/>
      </c>
      <c r="E230" s="3">
        <f>IFERROR(INDEX('2011'!$X$2:$X$490,MATCH($A230,'2011'!$A$2:$A$490,0)),"")</f>
        <v/>
      </c>
      <c r="F230" s="4">
        <f>IF(OR($D230="",$E230=""),"",$E230-$D230)</f>
        <v/>
      </c>
      <c r="G230">
        <f>IF(OR($B230="",$C230=""),"",$C230-$B230)</f>
        <v/>
      </c>
    </row>
    <row r="231">
      <c r="A231" s="2" t="n">
        <v>230</v>
      </c>
      <c r="B231">
        <f>IFERROR(INDEX('2001'!$O$2:$O$489,MATCH($A231,'2001'!$A$2:$A$489,0)),"")</f>
        <v/>
      </c>
      <c r="C231">
        <f>IFERROR(INDEX('2011'!$N$2:$N$490,MATCH($A231,'2011'!$A$2:$A$490,0)),"")</f>
        <v/>
      </c>
      <c r="D231" s="3">
        <f>IFERROR(INDEX('2001'!$Y$2:$Y$489,MATCH($A231,'2001'!$A$2:$A$489,0)),"")</f>
        <v/>
      </c>
      <c r="E231" s="3">
        <f>IFERROR(INDEX('2011'!$X$2:$X$490,MATCH($A231,'2011'!$A$2:$A$490,0)),"")</f>
        <v/>
      </c>
      <c r="F231" s="4">
        <f>IF(OR($D231="",$E231=""),"",$E231-$D231)</f>
        <v/>
      </c>
      <c r="G231">
        <f>IF(OR($B231="",$C231=""),"",$C231-$B231)</f>
        <v/>
      </c>
    </row>
    <row r="232">
      <c r="A232" s="2" t="n">
        <v>231</v>
      </c>
      <c r="B232">
        <f>IFERROR(INDEX('2001'!$O$2:$O$489,MATCH($A232,'2001'!$A$2:$A$489,0)),"")</f>
        <v/>
      </c>
      <c r="C232">
        <f>IFERROR(INDEX('2011'!$N$2:$N$490,MATCH($A232,'2011'!$A$2:$A$490,0)),"")</f>
        <v/>
      </c>
      <c r="D232" s="3">
        <f>IFERROR(INDEX('2001'!$Y$2:$Y$489,MATCH($A232,'2001'!$A$2:$A$489,0)),"")</f>
        <v/>
      </c>
      <c r="E232" s="3">
        <f>IFERROR(INDEX('2011'!$X$2:$X$490,MATCH($A232,'2011'!$A$2:$A$490,0)),"")</f>
        <v/>
      </c>
      <c r="F232" s="4">
        <f>IF(OR($D232="",$E232=""),"",$E232-$D232)</f>
        <v/>
      </c>
      <c r="G232">
        <f>IF(OR($B232="",$C232=""),"",$C232-$B232)</f>
        <v/>
      </c>
    </row>
    <row r="233">
      <c r="A233" s="2" t="n">
        <v>232</v>
      </c>
      <c r="B233">
        <f>IFERROR(INDEX('2001'!$O$2:$O$489,MATCH($A233,'2001'!$A$2:$A$489,0)),"")</f>
        <v/>
      </c>
      <c r="C233">
        <f>IFERROR(INDEX('2011'!$N$2:$N$490,MATCH($A233,'2011'!$A$2:$A$490,0)),"")</f>
        <v/>
      </c>
      <c r="D233" s="3">
        <f>IFERROR(INDEX('2001'!$Y$2:$Y$489,MATCH($A233,'2001'!$A$2:$A$489,0)),"")</f>
        <v/>
      </c>
      <c r="E233" s="3">
        <f>IFERROR(INDEX('2011'!$X$2:$X$490,MATCH($A233,'2011'!$A$2:$A$490,0)),"")</f>
        <v/>
      </c>
      <c r="F233" s="4">
        <f>IF(OR($D233="",$E233=""),"",$E233-$D233)</f>
        <v/>
      </c>
      <c r="G233">
        <f>IF(OR($B233="",$C233=""),"",$C233-$B233)</f>
        <v/>
      </c>
    </row>
    <row r="234">
      <c r="A234" s="2" t="n">
        <v>233</v>
      </c>
      <c r="B234">
        <f>IFERROR(INDEX('2001'!$O$2:$O$489,MATCH($A234,'2001'!$A$2:$A$489,0)),"")</f>
        <v/>
      </c>
      <c r="C234">
        <f>IFERROR(INDEX('2011'!$N$2:$N$490,MATCH($A234,'2011'!$A$2:$A$490,0)),"")</f>
        <v/>
      </c>
      <c r="D234" s="3">
        <f>IFERROR(INDEX('2001'!$Y$2:$Y$489,MATCH($A234,'2001'!$A$2:$A$489,0)),"")</f>
        <v/>
      </c>
      <c r="E234" s="3">
        <f>IFERROR(INDEX('2011'!$X$2:$X$490,MATCH($A234,'2011'!$A$2:$A$490,0)),"")</f>
        <v/>
      </c>
      <c r="F234" s="4">
        <f>IF(OR($D234="",$E234=""),"",$E234-$D234)</f>
        <v/>
      </c>
      <c r="G234">
        <f>IF(OR($B234="",$C234=""),"",$C234-$B234)</f>
        <v/>
      </c>
    </row>
    <row r="235">
      <c r="A235" s="2" t="n">
        <v>234</v>
      </c>
      <c r="B235">
        <f>IFERROR(INDEX('2001'!$O$2:$O$489,MATCH($A235,'2001'!$A$2:$A$489,0)),"")</f>
        <v/>
      </c>
      <c r="C235">
        <f>IFERROR(INDEX('2011'!$N$2:$N$490,MATCH($A235,'2011'!$A$2:$A$490,0)),"")</f>
        <v/>
      </c>
      <c r="D235" s="3">
        <f>IFERROR(INDEX('2001'!$Y$2:$Y$489,MATCH($A235,'2001'!$A$2:$A$489,0)),"")</f>
        <v/>
      </c>
      <c r="E235" s="3">
        <f>IFERROR(INDEX('2011'!$X$2:$X$490,MATCH($A235,'2011'!$A$2:$A$490,0)),"")</f>
        <v/>
      </c>
      <c r="F235" s="4">
        <f>IF(OR($D235="",$E235=""),"",$E235-$D235)</f>
        <v/>
      </c>
      <c r="G235">
        <f>IF(OR($B235="",$C235=""),"",$C235-$B235)</f>
        <v/>
      </c>
    </row>
    <row r="236">
      <c r="A236" s="2" t="n">
        <v>235</v>
      </c>
      <c r="B236">
        <f>IFERROR(INDEX('2001'!$O$2:$O$489,MATCH($A236,'2001'!$A$2:$A$489,0)),"")</f>
        <v/>
      </c>
      <c r="C236">
        <f>IFERROR(INDEX('2011'!$N$2:$N$490,MATCH($A236,'2011'!$A$2:$A$490,0)),"")</f>
        <v/>
      </c>
      <c r="D236" s="3">
        <f>IFERROR(INDEX('2001'!$Y$2:$Y$489,MATCH($A236,'2001'!$A$2:$A$489,0)),"")</f>
        <v/>
      </c>
      <c r="E236" s="3">
        <f>IFERROR(INDEX('2011'!$X$2:$X$490,MATCH($A236,'2011'!$A$2:$A$490,0)),"")</f>
        <v/>
      </c>
      <c r="F236" s="4">
        <f>IF(OR($D236="",$E236=""),"",$E236-$D236)</f>
        <v/>
      </c>
      <c r="G236">
        <f>IF(OR($B236="",$C236=""),"",$C236-$B236)</f>
        <v/>
      </c>
    </row>
    <row r="237">
      <c r="A237" s="2" t="n">
        <v>236</v>
      </c>
      <c r="B237">
        <f>IFERROR(INDEX('2001'!$O$2:$O$489,MATCH($A237,'2001'!$A$2:$A$489,0)),"")</f>
        <v/>
      </c>
      <c r="C237">
        <f>IFERROR(INDEX('2011'!$N$2:$N$490,MATCH($A237,'2011'!$A$2:$A$490,0)),"")</f>
        <v/>
      </c>
      <c r="D237" s="3">
        <f>IFERROR(INDEX('2001'!$Y$2:$Y$489,MATCH($A237,'2001'!$A$2:$A$489,0)),"")</f>
        <v/>
      </c>
      <c r="E237" s="3">
        <f>IFERROR(INDEX('2011'!$X$2:$X$490,MATCH($A237,'2011'!$A$2:$A$490,0)),"")</f>
        <v/>
      </c>
      <c r="F237" s="4">
        <f>IF(OR($D237="",$E237=""),"",$E237-$D237)</f>
        <v/>
      </c>
      <c r="G237">
        <f>IF(OR($B237="",$C237=""),"",$C237-$B237)</f>
        <v/>
      </c>
    </row>
    <row r="238">
      <c r="A238" s="2" t="n">
        <v>237</v>
      </c>
      <c r="B238">
        <f>IFERROR(INDEX('2001'!$O$2:$O$489,MATCH($A238,'2001'!$A$2:$A$489,0)),"")</f>
        <v/>
      </c>
      <c r="C238">
        <f>IFERROR(INDEX('2011'!$N$2:$N$490,MATCH($A238,'2011'!$A$2:$A$490,0)),"")</f>
        <v/>
      </c>
      <c r="D238" s="3">
        <f>IFERROR(INDEX('2001'!$Y$2:$Y$489,MATCH($A238,'2001'!$A$2:$A$489,0)),"")</f>
        <v/>
      </c>
      <c r="E238" s="3">
        <f>IFERROR(INDEX('2011'!$X$2:$X$490,MATCH($A238,'2011'!$A$2:$A$490,0)),"")</f>
        <v/>
      </c>
      <c r="F238" s="4">
        <f>IF(OR($D238="",$E238=""),"",$E238-$D238)</f>
        <v/>
      </c>
      <c r="G238">
        <f>IF(OR($B238="",$C238=""),"",$C238-$B238)</f>
        <v/>
      </c>
    </row>
    <row r="239">
      <c r="A239" s="2" t="n">
        <v>238</v>
      </c>
      <c r="B239">
        <f>IFERROR(INDEX('2001'!$O$2:$O$489,MATCH($A239,'2001'!$A$2:$A$489,0)),"")</f>
        <v/>
      </c>
      <c r="C239">
        <f>IFERROR(INDEX('2011'!$N$2:$N$490,MATCH($A239,'2011'!$A$2:$A$490,0)),"")</f>
        <v/>
      </c>
      <c r="D239" s="3">
        <f>IFERROR(INDEX('2001'!$Y$2:$Y$489,MATCH($A239,'2001'!$A$2:$A$489,0)),"")</f>
        <v/>
      </c>
      <c r="E239" s="3">
        <f>IFERROR(INDEX('2011'!$X$2:$X$490,MATCH($A239,'2011'!$A$2:$A$490,0)),"")</f>
        <v/>
      </c>
      <c r="F239" s="4">
        <f>IF(OR($D239="",$E239=""),"",$E239-$D239)</f>
        <v/>
      </c>
      <c r="G239">
        <f>IF(OR($B239="",$C239=""),"",$C239-$B239)</f>
        <v/>
      </c>
    </row>
    <row r="240">
      <c r="A240" s="2" t="n">
        <v>239</v>
      </c>
      <c r="B240">
        <f>IFERROR(INDEX('2001'!$O$2:$O$489,MATCH($A240,'2001'!$A$2:$A$489,0)),"")</f>
        <v/>
      </c>
      <c r="C240">
        <f>IFERROR(INDEX('2011'!$N$2:$N$490,MATCH($A240,'2011'!$A$2:$A$490,0)),"")</f>
        <v/>
      </c>
      <c r="D240" s="3">
        <f>IFERROR(INDEX('2001'!$Y$2:$Y$489,MATCH($A240,'2001'!$A$2:$A$489,0)),"")</f>
        <v/>
      </c>
      <c r="E240" s="3">
        <f>IFERROR(INDEX('2011'!$X$2:$X$490,MATCH($A240,'2011'!$A$2:$A$490,0)),"")</f>
        <v/>
      </c>
      <c r="F240" s="4">
        <f>IF(OR($D240="",$E240=""),"",$E240-$D240)</f>
        <v/>
      </c>
      <c r="G240">
        <f>IF(OR($B240="",$C240=""),"",$C240-$B240)</f>
        <v/>
      </c>
    </row>
    <row r="241">
      <c r="A241" s="2" t="n">
        <v>240</v>
      </c>
      <c r="B241">
        <f>IFERROR(INDEX('2001'!$O$2:$O$489,MATCH($A241,'2001'!$A$2:$A$489,0)),"")</f>
        <v/>
      </c>
      <c r="C241">
        <f>IFERROR(INDEX('2011'!$N$2:$N$490,MATCH($A241,'2011'!$A$2:$A$490,0)),"")</f>
        <v/>
      </c>
      <c r="D241" s="3">
        <f>IFERROR(INDEX('2001'!$Y$2:$Y$489,MATCH($A241,'2001'!$A$2:$A$489,0)),"")</f>
        <v/>
      </c>
      <c r="E241" s="3">
        <f>IFERROR(INDEX('2011'!$X$2:$X$490,MATCH($A241,'2011'!$A$2:$A$490,0)),"")</f>
        <v/>
      </c>
      <c r="F241" s="4">
        <f>IF(OR($D241="",$E241=""),"",$E241-$D241)</f>
        <v/>
      </c>
      <c r="G241">
        <f>IF(OR($B241="",$C241=""),"",$C241-$B241)</f>
        <v/>
      </c>
    </row>
    <row r="242">
      <c r="A242" s="2" t="n">
        <v>241</v>
      </c>
      <c r="B242">
        <f>IFERROR(INDEX('2001'!$O$2:$O$489,MATCH($A242,'2001'!$A$2:$A$489,0)),"")</f>
        <v/>
      </c>
      <c r="C242">
        <f>IFERROR(INDEX('2011'!$N$2:$N$490,MATCH($A242,'2011'!$A$2:$A$490,0)),"")</f>
        <v/>
      </c>
      <c r="D242" s="3">
        <f>IFERROR(INDEX('2001'!$Y$2:$Y$489,MATCH($A242,'2001'!$A$2:$A$489,0)),"")</f>
        <v/>
      </c>
      <c r="E242" s="3">
        <f>IFERROR(INDEX('2011'!$X$2:$X$490,MATCH($A242,'2011'!$A$2:$A$490,0)),"")</f>
        <v/>
      </c>
      <c r="F242" s="4">
        <f>IF(OR($D242="",$E242=""),"",$E242-$D242)</f>
        <v/>
      </c>
      <c r="G242">
        <f>IF(OR($B242="",$C242=""),"",$C242-$B242)</f>
        <v/>
      </c>
    </row>
    <row r="243">
      <c r="A243" s="2" t="n">
        <v>242</v>
      </c>
      <c r="B243">
        <f>IFERROR(INDEX('2001'!$O$2:$O$489,MATCH($A243,'2001'!$A$2:$A$489,0)),"")</f>
        <v/>
      </c>
      <c r="C243">
        <f>IFERROR(INDEX('2011'!$N$2:$N$490,MATCH($A243,'2011'!$A$2:$A$490,0)),"")</f>
        <v/>
      </c>
      <c r="D243" s="3">
        <f>IFERROR(INDEX('2001'!$Y$2:$Y$489,MATCH($A243,'2001'!$A$2:$A$489,0)),"")</f>
        <v/>
      </c>
      <c r="E243" s="3">
        <f>IFERROR(INDEX('2011'!$X$2:$X$490,MATCH($A243,'2011'!$A$2:$A$490,0)),"")</f>
        <v/>
      </c>
      <c r="F243" s="4">
        <f>IF(OR($D243="",$E243=""),"",$E243-$D243)</f>
        <v/>
      </c>
      <c r="G243">
        <f>IF(OR($B243="",$C243=""),"",$C243-$B243)</f>
        <v/>
      </c>
    </row>
    <row r="244">
      <c r="A244" s="2" t="n">
        <v>243</v>
      </c>
      <c r="B244">
        <f>IFERROR(INDEX('2001'!$O$2:$O$489,MATCH($A244,'2001'!$A$2:$A$489,0)),"")</f>
        <v/>
      </c>
      <c r="C244">
        <f>IFERROR(INDEX('2011'!$N$2:$N$490,MATCH($A244,'2011'!$A$2:$A$490,0)),"")</f>
        <v/>
      </c>
      <c r="D244" s="3">
        <f>IFERROR(INDEX('2001'!$Y$2:$Y$489,MATCH($A244,'2001'!$A$2:$A$489,0)),"")</f>
        <v/>
      </c>
      <c r="E244" s="3">
        <f>IFERROR(INDEX('2011'!$X$2:$X$490,MATCH($A244,'2011'!$A$2:$A$490,0)),"")</f>
        <v/>
      </c>
      <c r="F244" s="4">
        <f>IF(OR($D244="",$E244=""),"",$E244-$D244)</f>
        <v/>
      </c>
      <c r="G244">
        <f>IF(OR($B244="",$C244=""),"",$C244-$B244)</f>
        <v/>
      </c>
    </row>
    <row r="245">
      <c r="A245" s="2" t="n">
        <v>244</v>
      </c>
      <c r="B245">
        <f>IFERROR(INDEX('2001'!$O$2:$O$489,MATCH($A245,'2001'!$A$2:$A$489,0)),"")</f>
        <v/>
      </c>
      <c r="C245">
        <f>IFERROR(INDEX('2011'!$N$2:$N$490,MATCH($A245,'2011'!$A$2:$A$490,0)),"")</f>
        <v/>
      </c>
      <c r="D245" s="3">
        <f>IFERROR(INDEX('2001'!$Y$2:$Y$489,MATCH($A245,'2001'!$A$2:$A$489,0)),"")</f>
        <v/>
      </c>
      <c r="E245" s="3">
        <f>IFERROR(INDEX('2011'!$X$2:$X$490,MATCH($A245,'2011'!$A$2:$A$490,0)),"")</f>
        <v/>
      </c>
      <c r="F245" s="4">
        <f>IF(OR($D245="",$E245=""),"",$E245-$D245)</f>
        <v/>
      </c>
      <c r="G245">
        <f>IF(OR($B245="",$C245=""),"",$C245-$B245)</f>
        <v/>
      </c>
    </row>
    <row r="246">
      <c r="A246" s="2" t="n">
        <v>245</v>
      </c>
      <c r="B246">
        <f>IFERROR(INDEX('2001'!$O$2:$O$489,MATCH($A246,'2001'!$A$2:$A$489,0)),"")</f>
        <v/>
      </c>
      <c r="C246">
        <f>IFERROR(INDEX('2011'!$N$2:$N$490,MATCH($A246,'2011'!$A$2:$A$490,0)),"")</f>
        <v/>
      </c>
      <c r="D246" s="3">
        <f>IFERROR(INDEX('2001'!$Y$2:$Y$489,MATCH($A246,'2001'!$A$2:$A$489,0)),"")</f>
        <v/>
      </c>
      <c r="E246" s="3">
        <f>IFERROR(INDEX('2011'!$X$2:$X$490,MATCH($A246,'2011'!$A$2:$A$490,0)),"")</f>
        <v/>
      </c>
      <c r="F246" s="4">
        <f>IF(OR($D246="",$E246=""),"",$E246-$D246)</f>
        <v/>
      </c>
      <c r="G246">
        <f>IF(OR($B246="",$C246=""),"",$C246-$B246)</f>
        <v/>
      </c>
    </row>
    <row r="247">
      <c r="A247" s="2" t="n">
        <v>246</v>
      </c>
      <c r="B247">
        <f>IFERROR(INDEX('2001'!$O$2:$O$489,MATCH($A247,'2001'!$A$2:$A$489,0)),"")</f>
        <v/>
      </c>
      <c r="C247">
        <f>IFERROR(INDEX('2011'!$N$2:$N$490,MATCH($A247,'2011'!$A$2:$A$490,0)),"")</f>
        <v/>
      </c>
      <c r="D247" s="3">
        <f>IFERROR(INDEX('2001'!$Y$2:$Y$489,MATCH($A247,'2001'!$A$2:$A$489,0)),"")</f>
        <v/>
      </c>
      <c r="E247" s="3">
        <f>IFERROR(INDEX('2011'!$X$2:$X$490,MATCH($A247,'2011'!$A$2:$A$490,0)),"")</f>
        <v/>
      </c>
      <c r="F247" s="4">
        <f>IF(OR($D247="",$E247=""),"",$E247-$D247)</f>
        <v/>
      </c>
      <c r="G247">
        <f>IF(OR($B247="",$C247=""),"",$C247-$B247)</f>
        <v/>
      </c>
    </row>
    <row r="248">
      <c r="A248" s="2" t="n">
        <v>247</v>
      </c>
      <c r="B248">
        <f>IFERROR(INDEX('2001'!$O$2:$O$489,MATCH($A248,'2001'!$A$2:$A$489,0)),"")</f>
        <v/>
      </c>
      <c r="C248">
        <f>IFERROR(INDEX('2011'!$N$2:$N$490,MATCH($A248,'2011'!$A$2:$A$490,0)),"")</f>
        <v/>
      </c>
      <c r="D248" s="3">
        <f>IFERROR(INDEX('2001'!$Y$2:$Y$489,MATCH($A248,'2001'!$A$2:$A$489,0)),"")</f>
        <v/>
      </c>
      <c r="E248" s="3">
        <f>IFERROR(INDEX('2011'!$X$2:$X$490,MATCH($A248,'2011'!$A$2:$A$490,0)),"")</f>
        <v/>
      </c>
      <c r="F248" s="4">
        <f>IF(OR($D248="",$E248=""),"",$E248-$D248)</f>
        <v/>
      </c>
      <c r="G248">
        <f>IF(OR($B248="",$C248=""),"",$C248-$B248)</f>
        <v/>
      </c>
    </row>
    <row r="249">
      <c r="A249" s="2" t="n">
        <v>248</v>
      </c>
      <c r="B249">
        <f>IFERROR(INDEX('2001'!$O$2:$O$489,MATCH($A249,'2001'!$A$2:$A$489,0)),"")</f>
        <v/>
      </c>
      <c r="C249">
        <f>IFERROR(INDEX('2011'!$N$2:$N$490,MATCH($A249,'2011'!$A$2:$A$490,0)),"")</f>
        <v/>
      </c>
      <c r="D249" s="3">
        <f>IFERROR(INDEX('2001'!$Y$2:$Y$489,MATCH($A249,'2001'!$A$2:$A$489,0)),"")</f>
        <v/>
      </c>
      <c r="E249" s="3">
        <f>IFERROR(INDEX('2011'!$X$2:$X$490,MATCH($A249,'2011'!$A$2:$A$490,0)),"")</f>
        <v/>
      </c>
      <c r="F249" s="4">
        <f>IF(OR($D249="",$E249=""),"",$E249-$D249)</f>
        <v/>
      </c>
      <c r="G249">
        <f>IF(OR($B249="",$C249=""),"",$C249-$B249)</f>
        <v/>
      </c>
    </row>
    <row r="250">
      <c r="A250" s="2" t="n">
        <v>249</v>
      </c>
      <c r="B250">
        <f>IFERROR(INDEX('2001'!$O$2:$O$489,MATCH($A250,'2001'!$A$2:$A$489,0)),"")</f>
        <v/>
      </c>
      <c r="C250">
        <f>IFERROR(INDEX('2011'!$N$2:$N$490,MATCH($A250,'2011'!$A$2:$A$490,0)),"")</f>
        <v/>
      </c>
      <c r="D250" s="3">
        <f>IFERROR(INDEX('2001'!$Y$2:$Y$489,MATCH($A250,'2001'!$A$2:$A$489,0)),"")</f>
        <v/>
      </c>
      <c r="E250" s="3">
        <f>IFERROR(INDEX('2011'!$X$2:$X$490,MATCH($A250,'2011'!$A$2:$A$490,0)),"")</f>
        <v/>
      </c>
      <c r="F250" s="4">
        <f>IF(OR($D250="",$E250=""),"",$E250-$D250)</f>
        <v/>
      </c>
      <c r="G250">
        <f>IF(OR($B250="",$C250=""),"",$C250-$B250)</f>
        <v/>
      </c>
    </row>
    <row r="251">
      <c r="A251" s="2" t="n">
        <v>250</v>
      </c>
      <c r="B251">
        <f>IFERROR(INDEX('2001'!$O$2:$O$489,MATCH($A251,'2001'!$A$2:$A$489,0)),"")</f>
        <v/>
      </c>
      <c r="C251">
        <f>IFERROR(INDEX('2011'!$N$2:$N$490,MATCH($A251,'2011'!$A$2:$A$490,0)),"")</f>
        <v/>
      </c>
      <c r="D251" s="3">
        <f>IFERROR(INDEX('2001'!$Y$2:$Y$489,MATCH($A251,'2001'!$A$2:$A$489,0)),"")</f>
        <v/>
      </c>
      <c r="E251" s="3">
        <f>IFERROR(INDEX('2011'!$X$2:$X$490,MATCH($A251,'2011'!$A$2:$A$490,0)),"")</f>
        <v/>
      </c>
      <c r="F251" s="4">
        <f>IF(OR($D251="",$E251=""),"",$E251-$D251)</f>
        <v/>
      </c>
      <c r="G251">
        <f>IF(OR($B251="",$C251=""),"",$C251-$B251)</f>
        <v/>
      </c>
    </row>
    <row r="252">
      <c r="A252" s="2" t="n">
        <v>251</v>
      </c>
      <c r="B252">
        <f>IFERROR(INDEX('2001'!$O$2:$O$489,MATCH($A252,'2001'!$A$2:$A$489,0)),"")</f>
        <v/>
      </c>
      <c r="C252">
        <f>IFERROR(INDEX('2011'!$N$2:$N$490,MATCH($A252,'2011'!$A$2:$A$490,0)),"")</f>
        <v/>
      </c>
      <c r="D252" s="3">
        <f>IFERROR(INDEX('2001'!$Y$2:$Y$489,MATCH($A252,'2001'!$A$2:$A$489,0)),"")</f>
        <v/>
      </c>
      <c r="E252" s="3">
        <f>IFERROR(INDEX('2011'!$X$2:$X$490,MATCH($A252,'2011'!$A$2:$A$490,0)),"")</f>
        <v/>
      </c>
      <c r="F252" s="4">
        <f>IF(OR($D252="",$E252=""),"",$E252-$D252)</f>
        <v/>
      </c>
      <c r="G252">
        <f>IF(OR($B252="",$C252=""),"",$C252-$B252)</f>
        <v/>
      </c>
    </row>
    <row r="253">
      <c r="A253" s="2" t="n">
        <v>252</v>
      </c>
      <c r="B253">
        <f>IFERROR(INDEX('2001'!$O$2:$O$489,MATCH($A253,'2001'!$A$2:$A$489,0)),"")</f>
        <v/>
      </c>
      <c r="C253">
        <f>IFERROR(INDEX('2011'!$N$2:$N$490,MATCH($A253,'2011'!$A$2:$A$490,0)),"")</f>
        <v/>
      </c>
      <c r="D253" s="3">
        <f>IFERROR(INDEX('2001'!$Y$2:$Y$489,MATCH($A253,'2001'!$A$2:$A$489,0)),"")</f>
        <v/>
      </c>
      <c r="E253" s="3">
        <f>IFERROR(INDEX('2011'!$X$2:$X$490,MATCH($A253,'2011'!$A$2:$A$490,0)),"")</f>
        <v/>
      </c>
      <c r="F253" s="4">
        <f>IF(OR($D253="",$E253=""),"",$E253-$D253)</f>
        <v/>
      </c>
      <c r="G253">
        <f>IF(OR($B253="",$C253=""),"",$C253-$B253)</f>
        <v/>
      </c>
    </row>
    <row r="254">
      <c r="A254" s="2" t="n">
        <v>253</v>
      </c>
      <c r="B254">
        <f>IFERROR(INDEX('2001'!$O$2:$O$489,MATCH($A254,'2001'!$A$2:$A$489,0)),"")</f>
        <v/>
      </c>
      <c r="C254">
        <f>IFERROR(INDEX('2011'!$N$2:$N$490,MATCH($A254,'2011'!$A$2:$A$490,0)),"")</f>
        <v/>
      </c>
      <c r="D254" s="3">
        <f>IFERROR(INDEX('2001'!$Y$2:$Y$489,MATCH($A254,'2001'!$A$2:$A$489,0)),"")</f>
        <v/>
      </c>
      <c r="E254" s="3">
        <f>IFERROR(INDEX('2011'!$X$2:$X$490,MATCH($A254,'2011'!$A$2:$A$490,0)),"")</f>
        <v/>
      </c>
      <c r="F254" s="4">
        <f>IF(OR($D254="",$E254=""),"",$E254-$D254)</f>
        <v/>
      </c>
      <c r="G254">
        <f>IF(OR($B254="",$C254=""),"",$C254-$B254)</f>
        <v/>
      </c>
    </row>
    <row r="255">
      <c r="A255" s="2" t="n">
        <v>254</v>
      </c>
      <c r="B255">
        <f>IFERROR(INDEX('2001'!$O$2:$O$489,MATCH($A255,'2001'!$A$2:$A$489,0)),"")</f>
        <v/>
      </c>
      <c r="C255">
        <f>IFERROR(INDEX('2011'!$N$2:$N$490,MATCH($A255,'2011'!$A$2:$A$490,0)),"")</f>
        <v/>
      </c>
      <c r="D255" s="3">
        <f>IFERROR(INDEX('2001'!$Y$2:$Y$489,MATCH($A255,'2001'!$A$2:$A$489,0)),"")</f>
        <v/>
      </c>
      <c r="E255" s="3">
        <f>IFERROR(INDEX('2011'!$X$2:$X$490,MATCH($A255,'2011'!$A$2:$A$490,0)),"")</f>
        <v/>
      </c>
      <c r="F255" s="4">
        <f>IF(OR($D255="",$E255=""),"",$E255-$D255)</f>
        <v/>
      </c>
      <c r="G255">
        <f>IF(OR($B255="",$C255=""),"",$C255-$B255)</f>
        <v/>
      </c>
    </row>
    <row r="256">
      <c r="A256" s="2" t="n">
        <v>255</v>
      </c>
      <c r="B256">
        <f>IFERROR(INDEX('2001'!$O$2:$O$489,MATCH($A256,'2001'!$A$2:$A$489,0)),"")</f>
        <v/>
      </c>
      <c r="C256">
        <f>IFERROR(INDEX('2011'!$N$2:$N$490,MATCH($A256,'2011'!$A$2:$A$490,0)),"")</f>
        <v/>
      </c>
      <c r="D256" s="3">
        <f>IFERROR(INDEX('2001'!$Y$2:$Y$489,MATCH($A256,'2001'!$A$2:$A$489,0)),"")</f>
        <v/>
      </c>
      <c r="E256" s="3">
        <f>IFERROR(INDEX('2011'!$X$2:$X$490,MATCH($A256,'2011'!$A$2:$A$490,0)),"")</f>
        <v/>
      </c>
      <c r="F256" s="4">
        <f>IF(OR($D256="",$E256=""),"",$E256-$D256)</f>
        <v/>
      </c>
      <c r="G256">
        <f>IF(OR($B256="",$C256=""),"",$C256-$B256)</f>
        <v/>
      </c>
    </row>
    <row r="257">
      <c r="A257" s="2" t="n">
        <v>256</v>
      </c>
      <c r="B257">
        <f>IFERROR(INDEX('2001'!$O$2:$O$489,MATCH($A257,'2001'!$A$2:$A$489,0)),"")</f>
        <v/>
      </c>
      <c r="C257">
        <f>IFERROR(INDEX('2011'!$N$2:$N$490,MATCH($A257,'2011'!$A$2:$A$490,0)),"")</f>
        <v/>
      </c>
      <c r="D257" s="3">
        <f>IFERROR(INDEX('2001'!$Y$2:$Y$489,MATCH($A257,'2001'!$A$2:$A$489,0)),"")</f>
        <v/>
      </c>
      <c r="E257" s="3">
        <f>IFERROR(INDEX('2011'!$X$2:$X$490,MATCH($A257,'2011'!$A$2:$A$490,0)),"")</f>
        <v/>
      </c>
      <c r="F257" s="4">
        <f>IF(OR($D257="",$E257=""),"",$E257-$D257)</f>
        <v/>
      </c>
      <c r="G257">
        <f>IF(OR($B257="",$C257=""),"",$C257-$B257)</f>
        <v/>
      </c>
    </row>
    <row r="258">
      <c r="A258" s="2" t="n">
        <v>257</v>
      </c>
      <c r="B258">
        <f>IFERROR(INDEX('2001'!$O$2:$O$489,MATCH($A258,'2001'!$A$2:$A$489,0)),"")</f>
        <v/>
      </c>
      <c r="C258">
        <f>IFERROR(INDEX('2011'!$N$2:$N$490,MATCH($A258,'2011'!$A$2:$A$490,0)),"")</f>
        <v/>
      </c>
      <c r="D258" s="3">
        <f>IFERROR(INDEX('2001'!$Y$2:$Y$489,MATCH($A258,'2001'!$A$2:$A$489,0)),"")</f>
        <v/>
      </c>
      <c r="E258" s="3">
        <f>IFERROR(INDEX('2011'!$X$2:$X$490,MATCH($A258,'2011'!$A$2:$A$490,0)),"")</f>
        <v/>
      </c>
      <c r="F258" s="4">
        <f>IF(OR($D258="",$E258=""),"",$E258-$D258)</f>
        <v/>
      </c>
      <c r="G258">
        <f>IF(OR($B258="",$C258=""),"",$C258-$B258)</f>
        <v/>
      </c>
    </row>
    <row r="259">
      <c r="A259" s="2" t="n">
        <v>258</v>
      </c>
      <c r="B259">
        <f>IFERROR(INDEX('2001'!$O$2:$O$489,MATCH($A259,'2001'!$A$2:$A$489,0)),"")</f>
        <v/>
      </c>
      <c r="C259">
        <f>IFERROR(INDEX('2011'!$N$2:$N$490,MATCH($A259,'2011'!$A$2:$A$490,0)),"")</f>
        <v/>
      </c>
      <c r="D259" s="3">
        <f>IFERROR(INDEX('2001'!$Y$2:$Y$489,MATCH($A259,'2001'!$A$2:$A$489,0)),"")</f>
        <v/>
      </c>
      <c r="E259" s="3">
        <f>IFERROR(INDEX('2011'!$X$2:$X$490,MATCH($A259,'2011'!$A$2:$A$490,0)),"")</f>
        <v/>
      </c>
      <c r="F259" s="4">
        <f>IF(OR($D259="",$E259=""),"",$E259-$D259)</f>
        <v/>
      </c>
      <c r="G259">
        <f>IF(OR($B259="",$C259=""),"",$C259-$B259)</f>
        <v/>
      </c>
    </row>
    <row r="260">
      <c r="A260" s="2" t="n">
        <v>259</v>
      </c>
      <c r="B260">
        <f>IFERROR(INDEX('2001'!$O$2:$O$489,MATCH($A260,'2001'!$A$2:$A$489,0)),"")</f>
        <v/>
      </c>
      <c r="C260">
        <f>IFERROR(INDEX('2011'!$N$2:$N$490,MATCH($A260,'2011'!$A$2:$A$490,0)),"")</f>
        <v/>
      </c>
      <c r="D260" s="3">
        <f>IFERROR(INDEX('2001'!$Y$2:$Y$489,MATCH($A260,'2001'!$A$2:$A$489,0)),"")</f>
        <v/>
      </c>
      <c r="E260" s="3">
        <f>IFERROR(INDEX('2011'!$X$2:$X$490,MATCH($A260,'2011'!$A$2:$A$490,0)),"")</f>
        <v/>
      </c>
      <c r="F260" s="4">
        <f>IF(OR($D260="",$E260=""),"",$E260-$D260)</f>
        <v/>
      </c>
      <c r="G260">
        <f>IF(OR($B260="",$C260=""),"",$C260-$B260)</f>
        <v/>
      </c>
    </row>
    <row r="261">
      <c r="A261" s="2" t="n">
        <v>260</v>
      </c>
      <c r="B261">
        <f>IFERROR(INDEX('2001'!$O$2:$O$489,MATCH($A261,'2001'!$A$2:$A$489,0)),"")</f>
        <v/>
      </c>
      <c r="C261">
        <f>IFERROR(INDEX('2011'!$N$2:$N$490,MATCH($A261,'2011'!$A$2:$A$490,0)),"")</f>
        <v/>
      </c>
      <c r="D261" s="3">
        <f>IFERROR(INDEX('2001'!$Y$2:$Y$489,MATCH($A261,'2001'!$A$2:$A$489,0)),"")</f>
        <v/>
      </c>
      <c r="E261" s="3">
        <f>IFERROR(INDEX('2011'!$X$2:$X$490,MATCH($A261,'2011'!$A$2:$A$490,0)),"")</f>
        <v/>
      </c>
      <c r="F261" s="4">
        <f>IF(OR($D261="",$E261=""),"",$E261-$D261)</f>
        <v/>
      </c>
      <c r="G261">
        <f>IF(OR($B261="",$C261=""),"",$C261-$B261)</f>
        <v/>
      </c>
    </row>
    <row r="262">
      <c r="A262" s="2" t="n">
        <v>261</v>
      </c>
      <c r="B262">
        <f>IFERROR(INDEX('2001'!$O$2:$O$489,MATCH($A262,'2001'!$A$2:$A$489,0)),"")</f>
        <v/>
      </c>
      <c r="C262">
        <f>IFERROR(INDEX('2011'!$N$2:$N$490,MATCH($A262,'2011'!$A$2:$A$490,0)),"")</f>
        <v/>
      </c>
      <c r="D262" s="3">
        <f>IFERROR(INDEX('2001'!$Y$2:$Y$489,MATCH($A262,'2001'!$A$2:$A$489,0)),"")</f>
        <v/>
      </c>
      <c r="E262" s="3">
        <f>IFERROR(INDEX('2011'!$X$2:$X$490,MATCH($A262,'2011'!$A$2:$A$490,0)),"")</f>
        <v/>
      </c>
      <c r="F262" s="4">
        <f>IF(OR($D262="",$E262=""),"",$E262-$D262)</f>
        <v/>
      </c>
      <c r="G262">
        <f>IF(OR($B262="",$C262=""),"",$C262-$B262)</f>
        <v/>
      </c>
    </row>
    <row r="263">
      <c r="A263" s="2" t="n">
        <v>262</v>
      </c>
      <c r="B263">
        <f>IFERROR(INDEX('2001'!$O$2:$O$489,MATCH($A263,'2001'!$A$2:$A$489,0)),"")</f>
        <v/>
      </c>
      <c r="C263">
        <f>IFERROR(INDEX('2011'!$N$2:$N$490,MATCH($A263,'2011'!$A$2:$A$490,0)),"")</f>
        <v/>
      </c>
      <c r="D263" s="3">
        <f>IFERROR(INDEX('2001'!$Y$2:$Y$489,MATCH($A263,'2001'!$A$2:$A$489,0)),"")</f>
        <v/>
      </c>
      <c r="E263" s="3">
        <f>IFERROR(INDEX('2011'!$X$2:$X$490,MATCH($A263,'2011'!$A$2:$A$490,0)),"")</f>
        <v/>
      </c>
      <c r="F263" s="4">
        <f>IF(OR($D263="",$E263=""),"",$E263-$D263)</f>
        <v/>
      </c>
      <c r="G263">
        <f>IF(OR($B263="",$C263=""),"",$C263-$B263)</f>
        <v/>
      </c>
    </row>
    <row r="264">
      <c r="A264" s="2" t="n">
        <v>263</v>
      </c>
      <c r="B264">
        <f>IFERROR(INDEX('2001'!$O$2:$O$489,MATCH($A264,'2001'!$A$2:$A$489,0)),"")</f>
        <v/>
      </c>
      <c r="C264">
        <f>IFERROR(INDEX('2011'!$N$2:$N$490,MATCH($A264,'2011'!$A$2:$A$490,0)),"")</f>
        <v/>
      </c>
      <c r="D264" s="3">
        <f>IFERROR(INDEX('2001'!$Y$2:$Y$489,MATCH($A264,'2001'!$A$2:$A$489,0)),"")</f>
        <v/>
      </c>
      <c r="E264" s="3">
        <f>IFERROR(INDEX('2011'!$X$2:$X$490,MATCH($A264,'2011'!$A$2:$A$490,0)),"")</f>
        <v/>
      </c>
      <c r="F264" s="4">
        <f>IF(OR($D264="",$E264=""),"",$E264-$D264)</f>
        <v/>
      </c>
      <c r="G264">
        <f>IF(OR($B264="",$C264=""),"",$C264-$B264)</f>
        <v/>
      </c>
    </row>
    <row r="265">
      <c r="A265" s="2" t="n">
        <v>264</v>
      </c>
      <c r="B265">
        <f>IFERROR(INDEX('2001'!$O$2:$O$489,MATCH($A265,'2001'!$A$2:$A$489,0)),"")</f>
        <v/>
      </c>
      <c r="C265">
        <f>IFERROR(INDEX('2011'!$N$2:$N$490,MATCH($A265,'2011'!$A$2:$A$490,0)),"")</f>
        <v/>
      </c>
      <c r="D265" s="3">
        <f>IFERROR(INDEX('2001'!$Y$2:$Y$489,MATCH($A265,'2001'!$A$2:$A$489,0)),"")</f>
        <v/>
      </c>
      <c r="E265" s="3">
        <f>IFERROR(INDEX('2011'!$X$2:$X$490,MATCH($A265,'2011'!$A$2:$A$490,0)),"")</f>
        <v/>
      </c>
      <c r="F265" s="4">
        <f>IF(OR($D265="",$E265=""),"",$E265-$D265)</f>
        <v/>
      </c>
      <c r="G265">
        <f>IF(OR($B265="",$C265=""),"",$C265-$B265)</f>
        <v/>
      </c>
    </row>
    <row r="266">
      <c r="A266" s="2" t="n">
        <v>265</v>
      </c>
      <c r="B266">
        <f>IFERROR(INDEX('2001'!$O$2:$O$489,MATCH($A266,'2001'!$A$2:$A$489,0)),"")</f>
        <v/>
      </c>
      <c r="C266">
        <f>IFERROR(INDEX('2011'!$N$2:$N$490,MATCH($A266,'2011'!$A$2:$A$490,0)),"")</f>
        <v/>
      </c>
      <c r="D266" s="3">
        <f>IFERROR(INDEX('2001'!$Y$2:$Y$489,MATCH($A266,'2001'!$A$2:$A$489,0)),"")</f>
        <v/>
      </c>
      <c r="E266" s="3">
        <f>IFERROR(INDEX('2011'!$X$2:$X$490,MATCH($A266,'2011'!$A$2:$A$490,0)),"")</f>
        <v/>
      </c>
      <c r="F266" s="4">
        <f>IF(OR($D266="",$E266=""),"",$E266-$D266)</f>
        <v/>
      </c>
      <c r="G266">
        <f>IF(OR($B266="",$C266=""),"",$C266-$B266)</f>
        <v/>
      </c>
    </row>
    <row r="267">
      <c r="A267" s="2" t="n">
        <v>266</v>
      </c>
      <c r="B267">
        <f>IFERROR(INDEX('2001'!$O$2:$O$489,MATCH($A267,'2001'!$A$2:$A$489,0)),"")</f>
        <v/>
      </c>
      <c r="C267">
        <f>IFERROR(INDEX('2011'!$N$2:$N$490,MATCH($A267,'2011'!$A$2:$A$490,0)),"")</f>
        <v/>
      </c>
      <c r="D267" s="3">
        <f>IFERROR(INDEX('2001'!$Y$2:$Y$489,MATCH($A267,'2001'!$A$2:$A$489,0)),"")</f>
        <v/>
      </c>
      <c r="E267" s="3">
        <f>IFERROR(INDEX('2011'!$X$2:$X$490,MATCH($A267,'2011'!$A$2:$A$490,0)),"")</f>
        <v/>
      </c>
      <c r="F267" s="4">
        <f>IF(OR($D267="",$E267=""),"",$E267-$D267)</f>
        <v/>
      </c>
      <c r="G267">
        <f>IF(OR($B267="",$C267=""),"",$C267-$B267)</f>
        <v/>
      </c>
    </row>
    <row r="268">
      <c r="A268" s="2" t="n">
        <v>267</v>
      </c>
      <c r="B268">
        <f>IFERROR(INDEX('2001'!$O$2:$O$489,MATCH($A268,'2001'!$A$2:$A$489,0)),"")</f>
        <v/>
      </c>
      <c r="C268">
        <f>IFERROR(INDEX('2011'!$N$2:$N$490,MATCH($A268,'2011'!$A$2:$A$490,0)),"")</f>
        <v/>
      </c>
      <c r="D268" s="3">
        <f>IFERROR(INDEX('2001'!$Y$2:$Y$489,MATCH($A268,'2001'!$A$2:$A$489,0)),"")</f>
        <v/>
      </c>
      <c r="E268" s="3">
        <f>IFERROR(INDEX('2011'!$X$2:$X$490,MATCH($A268,'2011'!$A$2:$A$490,0)),"")</f>
        <v/>
      </c>
      <c r="F268" s="4">
        <f>IF(OR($D268="",$E268=""),"",$E268-$D268)</f>
        <v/>
      </c>
      <c r="G268">
        <f>IF(OR($B268="",$C268=""),"",$C268-$B268)</f>
        <v/>
      </c>
    </row>
    <row r="269">
      <c r="A269" s="2" t="n">
        <v>268</v>
      </c>
      <c r="B269">
        <f>IFERROR(INDEX('2001'!$O$2:$O$489,MATCH($A269,'2001'!$A$2:$A$489,0)),"")</f>
        <v/>
      </c>
      <c r="C269">
        <f>IFERROR(INDEX('2011'!$N$2:$N$490,MATCH($A269,'2011'!$A$2:$A$490,0)),"")</f>
        <v/>
      </c>
      <c r="D269" s="3">
        <f>IFERROR(INDEX('2001'!$Y$2:$Y$489,MATCH($A269,'2001'!$A$2:$A$489,0)),"")</f>
        <v/>
      </c>
      <c r="E269" s="3">
        <f>IFERROR(INDEX('2011'!$X$2:$X$490,MATCH($A269,'2011'!$A$2:$A$490,0)),"")</f>
        <v/>
      </c>
      <c r="F269" s="4">
        <f>IF(OR($D269="",$E269=""),"",$E269-$D269)</f>
        <v/>
      </c>
      <c r="G269">
        <f>IF(OR($B269="",$C269=""),"",$C269-$B269)</f>
        <v/>
      </c>
    </row>
    <row r="270">
      <c r="A270" s="2" t="n">
        <v>269</v>
      </c>
      <c r="B270">
        <f>IFERROR(INDEX('2001'!$O$2:$O$489,MATCH($A270,'2001'!$A$2:$A$489,0)),"")</f>
        <v/>
      </c>
      <c r="C270">
        <f>IFERROR(INDEX('2011'!$N$2:$N$490,MATCH($A270,'2011'!$A$2:$A$490,0)),"")</f>
        <v/>
      </c>
      <c r="D270" s="3">
        <f>IFERROR(INDEX('2001'!$Y$2:$Y$489,MATCH($A270,'2001'!$A$2:$A$489,0)),"")</f>
        <v/>
      </c>
      <c r="E270" s="3">
        <f>IFERROR(INDEX('2011'!$X$2:$X$490,MATCH($A270,'2011'!$A$2:$A$490,0)),"")</f>
        <v/>
      </c>
      <c r="F270" s="4">
        <f>IF(OR($D270="",$E270=""),"",$E270-$D270)</f>
        <v/>
      </c>
      <c r="G270">
        <f>IF(OR($B270="",$C270=""),"",$C270-$B270)</f>
        <v/>
      </c>
    </row>
    <row r="271">
      <c r="A271" s="2" t="n">
        <v>270</v>
      </c>
      <c r="B271">
        <f>IFERROR(INDEX('2001'!$O$2:$O$489,MATCH($A271,'2001'!$A$2:$A$489,0)),"")</f>
        <v/>
      </c>
      <c r="C271">
        <f>IFERROR(INDEX('2011'!$N$2:$N$490,MATCH($A271,'2011'!$A$2:$A$490,0)),"")</f>
        <v/>
      </c>
      <c r="D271" s="3">
        <f>IFERROR(INDEX('2001'!$Y$2:$Y$489,MATCH($A271,'2001'!$A$2:$A$489,0)),"")</f>
        <v/>
      </c>
      <c r="E271" s="3">
        <f>IFERROR(INDEX('2011'!$X$2:$X$490,MATCH($A271,'2011'!$A$2:$A$490,0)),"")</f>
        <v/>
      </c>
      <c r="F271" s="4">
        <f>IF(OR($D271="",$E271=""),"",$E271-$D271)</f>
        <v/>
      </c>
      <c r="G271">
        <f>IF(OR($B271="",$C271=""),"",$C271-$B271)</f>
        <v/>
      </c>
    </row>
    <row r="272">
      <c r="A272" s="2" t="n">
        <v>271</v>
      </c>
      <c r="B272">
        <f>IFERROR(INDEX('2001'!$O$2:$O$489,MATCH($A272,'2001'!$A$2:$A$489,0)),"")</f>
        <v/>
      </c>
      <c r="C272">
        <f>IFERROR(INDEX('2011'!$N$2:$N$490,MATCH($A272,'2011'!$A$2:$A$490,0)),"")</f>
        <v/>
      </c>
      <c r="D272" s="3">
        <f>IFERROR(INDEX('2001'!$Y$2:$Y$489,MATCH($A272,'2001'!$A$2:$A$489,0)),"")</f>
        <v/>
      </c>
      <c r="E272" s="3">
        <f>IFERROR(INDEX('2011'!$X$2:$X$490,MATCH($A272,'2011'!$A$2:$A$490,0)),"")</f>
        <v/>
      </c>
      <c r="F272" s="4">
        <f>IF(OR($D272="",$E272=""),"",$E272-$D272)</f>
        <v/>
      </c>
      <c r="G272">
        <f>IF(OR($B272="",$C272=""),"",$C272-$B272)</f>
        <v/>
      </c>
    </row>
    <row r="273">
      <c r="A273" s="2" t="n">
        <v>272</v>
      </c>
      <c r="B273">
        <f>IFERROR(INDEX('2001'!$O$2:$O$489,MATCH($A273,'2001'!$A$2:$A$489,0)),"")</f>
        <v/>
      </c>
      <c r="C273">
        <f>IFERROR(INDEX('2011'!$N$2:$N$490,MATCH($A273,'2011'!$A$2:$A$490,0)),"")</f>
        <v/>
      </c>
      <c r="D273" s="3">
        <f>IFERROR(INDEX('2001'!$Y$2:$Y$489,MATCH($A273,'2001'!$A$2:$A$489,0)),"")</f>
        <v/>
      </c>
      <c r="E273" s="3">
        <f>IFERROR(INDEX('2011'!$X$2:$X$490,MATCH($A273,'2011'!$A$2:$A$490,0)),"")</f>
        <v/>
      </c>
      <c r="F273" s="4">
        <f>IF(OR($D273="",$E273=""),"",$E273-$D273)</f>
        <v/>
      </c>
      <c r="G273">
        <f>IF(OR($B273="",$C273=""),"",$C273-$B273)</f>
        <v/>
      </c>
    </row>
    <row r="274">
      <c r="A274" s="2" t="n">
        <v>273</v>
      </c>
      <c r="B274">
        <f>IFERROR(INDEX('2001'!$O$2:$O$489,MATCH($A274,'2001'!$A$2:$A$489,0)),"")</f>
        <v/>
      </c>
      <c r="C274">
        <f>IFERROR(INDEX('2011'!$N$2:$N$490,MATCH($A274,'2011'!$A$2:$A$490,0)),"")</f>
        <v/>
      </c>
      <c r="D274" s="3">
        <f>IFERROR(INDEX('2001'!$Y$2:$Y$489,MATCH($A274,'2001'!$A$2:$A$489,0)),"")</f>
        <v/>
      </c>
      <c r="E274" s="3">
        <f>IFERROR(INDEX('2011'!$X$2:$X$490,MATCH($A274,'2011'!$A$2:$A$490,0)),"")</f>
        <v/>
      </c>
      <c r="F274" s="4">
        <f>IF(OR($D274="",$E274=""),"",$E274-$D274)</f>
        <v/>
      </c>
      <c r="G274">
        <f>IF(OR($B274="",$C274=""),"",$C274-$B274)</f>
        <v/>
      </c>
    </row>
    <row r="275">
      <c r="A275" s="2" t="n">
        <v>274</v>
      </c>
      <c r="B275">
        <f>IFERROR(INDEX('2001'!$O$2:$O$489,MATCH($A275,'2001'!$A$2:$A$489,0)),"")</f>
        <v/>
      </c>
      <c r="C275">
        <f>IFERROR(INDEX('2011'!$N$2:$N$490,MATCH($A275,'2011'!$A$2:$A$490,0)),"")</f>
        <v/>
      </c>
      <c r="D275" s="3">
        <f>IFERROR(INDEX('2001'!$Y$2:$Y$489,MATCH($A275,'2001'!$A$2:$A$489,0)),"")</f>
        <v/>
      </c>
      <c r="E275" s="3">
        <f>IFERROR(INDEX('2011'!$X$2:$X$490,MATCH($A275,'2011'!$A$2:$A$490,0)),"")</f>
        <v/>
      </c>
      <c r="F275" s="4">
        <f>IF(OR($D275="",$E275=""),"",$E275-$D275)</f>
        <v/>
      </c>
      <c r="G275">
        <f>IF(OR($B275="",$C275=""),"",$C275-$B275)</f>
        <v/>
      </c>
    </row>
    <row r="276">
      <c r="A276" s="2" t="n">
        <v>275</v>
      </c>
      <c r="B276">
        <f>IFERROR(INDEX('2001'!$O$2:$O$489,MATCH($A276,'2001'!$A$2:$A$489,0)),"")</f>
        <v/>
      </c>
      <c r="C276">
        <f>IFERROR(INDEX('2011'!$N$2:$N$490,MATCH($A276,'2011'!$A$2:$A$490,0)),"")</f>
        <v/>
      </c>
      <c r="D276" s="3">
        <f>IFERROR(INDEX('2001'!$Y$2:$Y$489,MATCH($A276,'2001'!$A$2:$A$489,0)),"")</f>
        <v/>
      </c>
      <c r="E276" s="3">
        <f>IFERROR(INDEX('2011'!$X$2:$X$490,MATCH($A276,'2011'!$A$2:$A$490,0)),"")</f>
        <v/>
      </c>
      <c r="F276" s="4">
        <f>IF(OR($D276="",$E276=""),"",$E276-$D276)</f>
        <v/>
      </c>
      <c r="G276">
        <f>IF(OR($B276="",$C276=""),"",$C276-$B276)</f>
        <v/>
      </c>
    </row>
    <row r="277">
      <c r="A277" s="2" t="n">
        <v>276</v>
      </c>
      <c r="B277">
        <f>IFERROR(INDEX('2001'!$O$2:$O$489,MATCH($A277,'2001'!$A$2:$A$489,0)),"")</f>
        <v/>
      </c>
      <c r="C277">
        <f>IFERROR(INDEX('2011'!$N$2:$N$490,MATCH($A277,'2011'!$A$2:$A$490,0)),"")</f>
        <v/>
      </c>
      <c r="D277" s="3">
        <f>IFERROR(INDEX('2001'!$Y$2:$Y$489,MATCH($A277,'2001'!$A$2:$A$489,0)),"")</f>
        <v/>
      </c>
      <c r="E277" s="3">
        <f>IFERROR(INDEX('2011'!$X$2:$X$490,MATCH($A277,'2011'!$A$2:$A$490,0)),"")</f>
        <v/>
      </c>
      <c r="F277" s="4">
        <f>IF(OR($D277="",$E277=""),"",$E277-$D277)</f>
        <v/>
      </c>
      <c r="G277">
        <f>IF(OR($B277="",$C277=""),"",$C277-$B277)</f>
        <v/>
      </c>
    </row>
    <row r="278">
      <c r="A278" s="2" t="n">
        <v>277</v>
      </c>
      <c r="B278">
        <f>IFERROR(INDEX('2001'!$O$2:$O$489,MATCH($A278,'2001'!$A$2:$A$489,0)),"")</f>
        <v/>
      </c>
      <c r="C278">
        <f>IFERROR(INDEX('2011'!$N$2:$N$490,MATCH($A278,'2011'!$A$2:$A$490,0)),"")</f>
        <v/>
      </c>
      <c r="D278" s="3">
        <f>IFERROR(INDEX('2001'!$Y$2:$Y$489,MATCH($A278,'2001'!$A$2:$A$489,0)),"")</f>
        <v/>
      </c>
      <c r="E278" s="3">
        <f>IFERROR(INDEX('2011'!$X$2:$X$490,MATCH($A278,'2011'!$A$2:$A$490,0)),"")</f>
        <v/>
      </c>
      <c r="F278" s="4">
        <f>IF(OR($D278="",$E278=""),"",$E278-$D278)</f>
        <v/>
      </c>
      <c r="G278">
        <f>IF(OR($B278="",$C278=""),"",$C278-$B278)</f>
        <v/>
      </c>
    </row>
    <row r="279">
      <c r="A279" s="2" t="n">
        <v>278</v>
      </c>
      <c r="B279">
        <f>IFERROR(INDEX('2001'!$O$2:$O$489,MATCH($A279,'2001'!$A$2:$A$489,0)),"")</f>
        <v/>
      </c>
      <c r="C279">
        <f>IFERROR(INDEX('2011'!$N$2:$N$490,MATCH($A279,'2011'!$A$2:$A$490,0)),"")</f>
        <v/>
      </c>
      <c r="D279" s="3">
        <f>IFERROR(INDEX('2001'!$Y$2:$Y$489,MATCH($A279,'2001'!$A$2:$A$489,0)),"")</f>
        <v/>
      </c>
      <c r="E279" s="3">
        <f>IFERROR(INDEX('2011'!$X$2:$X$490,MATCH($A279,'2011'!$A$2:$A$490,0)),"")</f>
        <v/>
      </c>
      <c r="F279" s="4">
        <f>IF(OR($D279="",$E279=""),"",$E279-$D279)</f>
        <v/>
      </c>
      <c r="G279">
        <f>IF(OR($B279="",$C279=""),"",$C279-$B279)</f>
        <v/>
      </c>
    </row>
    <row r="280">
      <c r="A280" s="2" t="n">
        <v>279</v>
      </c>
      <c r="B280">
        <f>IFERROR(INDEX('2001'!$O$2:$O$489,MATCH($A280,'2001'!$A$2:$A$489,0)),"")</f>
        <v/>
      </c>
      <c r="C280">
        <f>IFERROR(INDEX('2011'!$N$2:$N$490,MATCH($A280,'2011'!$A$2:$A$490,0)),"")</f>
        <v/>
      </c>
      <c r="D280" s="3">
        <f>IFERROR(INDEX('2001'!$Y$2:$Y$489,MATCH($A280,'2001'!$A$2:$A$489,0)),"")</f>
        <v/>
      </c>
      <c r="E280" s="3">
        <f>IFERROR(INDEX('2011'!$X$2:$X$490,MATCH($A280,'2011'!$A$2:$A$490,0)),"")</f>
        <v/>
      </c>
      <c r="F280" s="4">
        <f>IF(OR($D280="",$E280=""),"",$E280-$D280)</f>
        <v/>
      </c>
      <c r="G280">
        <f>IF(OR($B280="",$C280=""),"",$C280-$B280)</f>
        <v/>
      </c>
    </row>
    <row r="281">
      <c r="A281" s="2" t="n">
        <v>280</v>
      </c>
      <c r="B281">
        <f>IFERROR(INDEX('2001'!$O$2:$O$489,MATCH($A281,'2001'!$A$2:$A$489,0)),"")</f>
        <v/>
      </c>
      <c r="C281">
        <f>IFERROR(INDEX('2011'!$N$2:$N$490,MATCH($A281,'2011'!$A$2:$A$490,0)),"")</f>
        <v/>
      </c>
      <c r="D281" s="3">
        <f>IFERROR(INDEX('2001'!$Y$2:$Y$489,MATCH($A281,'2001'!$A$2:$A$489,0)),"")</f>
        <v/>
      </c>
      <c r="E281" s="3">
        <f>IFERROR(INDEX('2011'!$X$2:$X$490,MATCH($A281,'2011'!$A$2:$A$490,0)),"")</f>
        <v/>
      </c>
      <c r="F281" s="4">
        <f>IF(OR($D281="",$E281=""),"",$E281-$D281)</f>
        <v/>
      </c>
      <c r="G281">
        <f>IF(OR($B281="",$C281=""),"",$C281-$B281)</f>
        <v/>
      </c>
    </row>
    <row r="282">
      <c r="A282" s="2" t="n">
        <v>281</v>
      </c>
      <c r="B282">
        <f>IFERROR(INDEX('2001'!$O$2:$O$489,MATCH($A282,'2001'!$A$2:$A$489,0)),"")</f>
        <v/>
      </c>
      <c r="C282">
        <f>IFERROR(INDEX('2011'!$N$2:$N$490,MATCH($A282,'2011'!$A$2:$A$490,0)),"")</f>
        <v/>
      </c>
      <c r="D282" s="3">
        <f>IFERROR(INDEX('2001'!$Y$2:$Y$489,MATCH($A282,'2001'!$A$2:$A$489,0)),"")</f>
        <v/>
      </c>
      <c r="E282" s="3">
        <f>IFERROR(INDEX('2011'!$X$2:$X$490,MATCH($A282,'2011'!$A$2:$A$490,0)),"")</f>
        <v/>
      </c>
      <c r="F282" s="4">
        <f>IF(OR($D282="",$E282=""),"",$E282-$D282)</f>
        <v/>
      </c>
      <c r="G282">
        <f>IF(OR($B282="",$C282=""),"",$C282-$B282)</f>
        <v/>
      </c>
    </row>
    <row r="283">
      <c r="A283" s="2" t="n">
        <v>282</v>
      </c>
      <c r="B283">
        <f>IFERROR(INDEX('2001'!$O$2:$O$489,MATCH($A283,'2001'!$A$2:$A$489,0)),"")</f>
        <v/>
      </c>
      <c r="C283">
        <f>IFERROR(INDEX('2011'!$N$2:$N$490,MATCH($A283,'2011'!$A$2:$A$490,0)),"")</f>
        <v/>
      </c>
      <c r="D283" s="3">
        <f>IFERROR(INDEX('2001'!$Y$2:$Y$489,MATCH($A283,'2001'!$A$2:$A$489,0)),"")</f>
        <v/>
      </c>
      <c r="E283" s="3">
        <f>IFERROR(INDEX('2011'!$X$2:$X$490,MATCH($A283,'2011'!$A$2:$A$490,0)),"")</f>
        <v/>
      </c>
      <c r="F283" s="4">
        <f>IF(OR($D283="",$E283=""),"",$E283-$D283)</f>
        <v/>
      </c>
      <c r="G283">
        <f>IF(OR($B283="",$C283=""),"",$C283-$B283)</f>
        <v/>
      </c>
    </row>
    <row r="284">
      <c r="A284" s="2" t="n">
        <v>283</v>
      </c>
      <c r="B284">
        <f>IFERROR(INDEX('2001'!$O$2:$O$489,MATCH($A284,'2001'!$A$2:$A$489,0)),"")</f>
        <v/>
      </c>
      <c r="C284">
        <f>IFERROR(INDEX('2011'!$N$2:$N$490,MATCH($A284,'2011'!$A$2:$A$490,0)),"")</f>
        <v/>
      </c>
      <c r="D284" s="3">
        <f>IFERROR(INDEX('2001'!$Y$2:$Y$489,MATCH($A284,'2001'!$A$2:$A$489,0)),"")</f>
        <v/>
      </c>
      <c r="E284" s="3">
        <f>IFERROR(INDEX('2011'!$X$2:$X$490,MATCH($A284,'2011'!$A$2:$A$490,0)),"")</f>
        <v/>
      </c>
      <c r="F284" s="4">
        <f>IF(OR($D284="",$E284=""),"",$E284-$D284)</f>
        <v/>
      </c>
      <c r="G284">
        <f>IF(OR($B284="",$C284=""),"",$C284-$B284)</f>
        <v/>
      </c>
    </row>
    <row r="285">
      <c r="A285" s="2" t="n">
        <v>284</v>
      </c>
      <c r="B285">
        <f>IFERROR(INDEX('2001'!$O$2:$O$489,MATCH($A285,'2001'!$A$2:$A$489,0)),"")</f>
        <v/>
      </c>
      <c r="C285">
        <f>IFERROR(INDEX('2011'!$N$2:$N$490,MATCH($A285,'2011'!$A$2:$A$490,0)),"")</f>
        <v/>
      </c>
      <c r="D285" s="3">
        <f>IFERROR(INDEX('2001'!$Y$2:$Y$489,MATCH($A285,'2001'!$A$2:$A$489,0)),"")</f>
        <v/>
      </c>
      <c r="E285" s="3">
        <f>IFERROR(INDEX('2011'!$X$2:$X$490,MATCH($A285,'2011'!$A$2:$A$490,0)),"")</f>
        <v/>
      </c>
      <c r="F285" s="4">
        <f>IF(OR($D285="",$E285=""),"",$E285-$D285)</f>
        <v/>
      </c>
      <c r="G285">
        <f>IF(OR($B285="",$C285=""),"",$C285-$B285)</f>
        <v/>
      </c>
    </row>
    <row r="286">
      <c r="A286" s="2" t="n">
        <v>285</v>
      </c>
      <c r="B286">
        <f>IFERROR(INDEX('2001'!$O$2:$O$489,MATCH($A286,'2001'!$A$2:$A$489,0)),"")</f>
        <v/>
      </c>
      <c r="C286">
        <f>IFERROR(INDEX('2011'!$N$2:$N$490,MATCH($A286,'2011'!$A$2:$A$490,0)),"")</f>
        <v/>
      </c>
      <c r="D286" s="3">
        <f>IFERROR(INDEX('2001'!$Y$2:$Y$489,MATCH($A286,'2001'!$A$2:$A$489,0)),"")</f>
        <v/>
      </c>
      <c r="E286" s="3">
        <f>IFERROR(INDEX('2011'!$X$2:$X$490,MATCH($A286,'2011'!$A$2:$A$490,0)),"")</f>
        <v/>
      </c>
      <c r="F286" s="4">
        <f>IF(OR($D286="",$E286=""),"",$E286-$D286)</f>
        <v/>
      </c>
      <c r="G286">
        <f>IF(OR($B286="",$C286=""),"",$C286-$B286)</f>
        <v/>
      </c>
    </row>
    <row r="287">
      <c r="A287" s="2" t="n">
        <v>286</v>
      </c>
      <c r="B287">
        <f>IFERROR(INDEX('2001'!$O$2:$O$489,MATCH($A287,'2001'!$A$2:$A$489,0)),"")</f>
        <v/>
      </c>
      <c r="C287">
        <f>IFERROR(INDEX('2011'!$N$2:$N$490,MATCH($A287,'2011'!$A$2:$A$490,0)),"")</f>
        <v/>
      </c>
      <c r="D287" s="3">
        <f>IFERROR(INDEX('2001'!$Y$2:$Y$489,MATCH($A287,'2001'!$A$2:$A$489,0)),"")</f>
        <v/>
      </c>
      <c r="E287" s="3">
        <f>IFERROR(INDEX('2011'!$X$2:$X$490,MATCH($A287,'2011'!$A$2:$A$490,0)),"")</f>
        <v/>
      </c>
      <c r="F287" s="4">
        <f>IF(OR($D287="",$E287=""),"",$E287-$D287)</f>
        <v/>
      </c>
      <c r="G287">
        <f>IF(OR($B287="",$C287=""),"",$C287-$B287)</f>
        <v/>
      </c>
    </row>
    <row r="288">
      <c r="A288" s="2" t="n">
        <v>287</v>
      </c>
      <c r="B288">
        <f>IFERROR(INDEX('2001'!$O$2:$O$489,MATCH($A288,'2001'!$A$2:$A$489,0)),"")</f>
        <v/>
      </c>
      <c r="C288">
        <f>IFERROR(INDEX('2011'!$N$2:$N$490,MATCH($A288,'2011'!$A$2:$A$490,0)),"")</f>
        <v/>
      </c>
      <c r="D288" s="3">
        <f>IFERROR(INDEX('2001'!$Y$2:$Y$489,MATCH($A288,'2001'!$A$2:$A$489,0)),"")</f>
        <v/>
      </c>
      <c r="E288" s="3">
        <f>IFERROR(INDEX('2011'!$X$2:$X$490,MATCH($A288,'2011'!$A$2:$A$490,0)),"")</f>
        <v/>
      </c>
      <c r="F288" s="4">
        <f>IF(OR($D288="",$E288=""),"",$E288-$D288)</f>
        <v/>
      </c>
      <c r="G288">
        <f>IF(OR($B288="",$C288=""),"",$C288-$B288)</f>
        <v/>
      </c>
    </row>
    <row r="289">
      <c r="A289" s="2" t="n">
        <v>288</v>
      </c>
      <c r="B289">
        <f>IFERROR(INDEX('2001'!$O$2:$O$489,MATCH($A289,'2001'!$A$2:$A$489,0)),"")</f>
        <v/>
      </c>
      <c r="C289">
        <f>IFERROR(INDEX('2011'!$N$2:$N$490,MATCH($A289,'2011'!$A$2:$A$490,0)),"")</f>
        <v/>
      </c>
      <c r="D289" s="3">
        <f>IFERROR(INDEX('2001'!$Y$2:$Y$489,MATCH($A289,'2001'!$A$2:$A$489,0)),"")</f>
        <v/>
      </c>
      <c r="E289" s="3">
        <f>IFERROR(INDEX('2011'!$X$2:$X$490,MATCH($A289,'2011'!$A$2:$A$490,0)),"")</f>
        <v/>
      </c>
      <c r="F289" s="4">
        <f>IF(OR($D289="",$E289=""),"",$E289-$D289)</f>
        <v/>
      </c>
      <c r="G289">
        <f>IF(OR($B289="",$C289=""),"",$C289-$B289)</f>
        <v/>
      </c>
    </row>
    <row r="290">
      <c r="A290" s="2" t="n">
        <v>289</v>
      </c>
      <c r="B290">
        <f>IFERROR(INDEX('2001'!$O$2:$O$489,MATCH($A290,'2001'!$A$2:$A$489,0)),"")</f>
        <v/>
      </c>
      <c r="C290">
        <f>IFERROR(INDEX('2011'!$N$2:$N$490,MATCH($A290,'2011'!$A$2:$A$490,0)),"")</f>
        <v/>
      </c>
      <c r="D290" s="3">
        <f>IFERROR(INDEX('2001'!$Y$2:$Y$489,MATCH($A290,'2001'!$A$2:$A$489,0)),"")</f>
        <v/>
      </c>
      <c r="E290" s="3">
        <f>IFERROR(INDEX('2011'!$X$2:$X$490,MATCH($A290,'2011'!$A$2:$A$490,0)),"")</f>
        <v/>
      </c>
      <c r="F290" s="4">
        <f>IF(OR($D290="",$E290=""),"",$E290-$D290)</f>
        <v/>
      </c>
      <c r="G290">
        <f>IF(OR($B290="",$C290=""),"",$C290-$B290)</f>
        <v/>
      </c>
    </row>
    <row r="291">
      <c r="A291" s="2" t="n">
        <v>290</v>
      </c>
      <c r="B291">
        <f>IFERROR(INDEX('2001'!$O$2:$O$489,MATCH($A291,'2001'!$A$2:$A$489,0)),"")</f>
        <v/>
      </c>
      <c r="C291">
        <f>IFERROR(INDEX('2011'!$N$2:$N$490,MATCH($A291,'2011'!$A$2:$A$490,0)),"")</f>
        <v/>
      </c>
      <c r="D291" s="3">
        <f>IFERROR(INDEX('2001'!$Y$2:$Y$489,MATCH($A291,'2001'!$A$2:$A$489,0)),"")</f>
        <v/>
      </c>
      <c r="E291" s="3">
        <f>IFERROR(INDEX('2011'!$X$2:$X$490,MATCH($A291,'2011'!$A$2:$A$490,0)),"")</f>
        <v/>
      </c>
      <c r="F291" s="4">
        <f>IF(OR($D291="",$E291=""),"",$E291-$D291)</f>
        <v/>
      </c>
      <c r="G291">
        <f>IF(OR($B291="",$C291=""),"",$C291-$B291)</f>
        <v/>
      </c>
    </row>
    <row r="292">
      <c r="A292" s="2" t="n">
        <v>291</v>
      </c>
      <c r="B292">
        <f>IFERROR(INDEX('2001'!$O$2:$O$489,MATCH($A292,'2001'!$A$2:$A$489,0)),"")</f>
        <v/>
      </c>
      <c r="C292">
        <f>IFERROR(INDEX('2011'!$N$2:$N$490,MATCH($A292,'2011'!$A$2:$A$490,0)),"")</f>
        <v/>
      </c>
      <c r="D292" s="3">
        <f>IFERROR(INDEX('2001'!$Y$2:$Y$489,MATCH($A292,'2001'!$A$2:$A$489,0)),"")</f>
        <v/>
      </c>
      <c r="E292" s="3">
        <f>IFERROR(INDEX('2011'!$X$2:$X$490,MATCH($A292,'2011'!$A$2:$A$490,0)),"")</f>
        <v/>
      </c>
      <c r="F292" s="4">
        <f>IF(OR($D292="",$E292=""),"",$E292-$D292)</f>
        <v/>
      </c>
      <c r="G292">
        <f>IF(OR($B292="",$C292=""),"",$C292-$B292)</f>
        <v/>
      </c>
    </row>
    <row r="293">
      <c r="A293" s="2" t="n">
        <v>292</v>
      </c>
      <c r="B293">
        <f>IFERROR(INDEX('2001'!$O$2:$O$489,MATCH($A293,'2001'!$A$2:$A$489,0)),"")</f>
        <v/>
      </c>
      <c r="C293">
        <f>IFERROR(INDEX('2011'!$N$2:$N$490,MATCH($A293,'2011'!$A$2:$A$490,0)),"")</f>
        <v/>
      </c>
      <c r="D293" s="3">
        <f>IFERROR(INDEX('2001'!$Y$2:$Y$489,MATCH($A293,'2001'!$A$2:$A$489,0)),"")</f>
        <v/>
      </c>
      <c r="E293" s="3">
        <f>IFERROR(INDEX('2011'!$X$2:$X$490,MATCH($A293,'2011'!$A$2:$A$490,0)),"")</f>
        <v/>
      </c>
      <c r="F293" s="4">
        <f>IF(OR($D293="",$E293=""),"",$E293-$D293)</f>
        <v/>
      </c>
      <c r="G293">
        <f>IF(OR($B293="",$C293=""),"",$C293-$B293)</f>
        <v/>
      </c>
    </row>
    <row r="294">
      <c r="A294" s="2" t="n">
        <v>293</v>
      </c>
      <c r="B294">
        <f>IFERROR(INDEX('2001'!$O$2:$O$489,MATCH($A294,'2001'!$A$2:$A$489,0)),"")</f>
        <v/>
      </c>
      <c r="C294">
        <f>IFERROR(INDEX('2011'!$N$2:$N$490,MATCH($A294,'2011'!$A$2:$A$490,0)),"")</f>
        <v/>
      </c>
      <c r="D294" s="3">
        <f>IFERROR(INDEX('2001'!$Y$2:$Y$489,MATCH($A294,'2001'!$A$2:$A$489,0)),"")</f>
        <v/>
      </c>
      <c r="E294" s="3">
        <f>IFERROR(INDEX('2011'!$X$2:$X$490,MATCH($A294,'2011'!$A$2:$A$490,0)),"")</f>
        <v/>
      </c>
      <c r="F294" s="4">
        <f>IF(OR($D294="",$E294=""),"",$E294-$D294)</f>
        <v/>
      </c>
      <c r="G294">
        <f>IF(OR($B294="",$C294=""),"",$C294-$B294)</f>
        <v/>
      </c>
    </row>
    <row r="295">
      <c r="A295" s="2" t="n">
        <v>294</v>
      </c>
      <c r="B295">
        <f>IFERROR(INDEX('2001'!$O$2:$O$489,MATCH($A295,'2001'!$A$2:$A$489,0)),"")</f>
        <v/>
      </c>
      <c r="C295">
        <f>IFERROR(INDEX('2011'!$N$2:$N$490,MATCH($A295,'2011'!$A$2:$A$490,0)),"")</f>
        <v/>
      </c>
      <c r="D295" s="3">
        <f>IFERROR(INDEX('2001'!$Y$2:$Y$489,MATCH($A295,'2001'!$A$2:$A$489,0)),"")</f>
        <v/>
      </c>
      <c r="E295" s="3">
        <f>IFERROR(INDEX('2011'!$X$2:$X$490,MATCH($A295,'2011'!$A$2:$A$490,0)),"")</f>
        <v/>
      </c>
      <c r="F295" s="4">
        <f>IF(OR($D295="",$E295=""),"",$E295-$D295)</f>
        <v/>
      </c>
      <c r="G295">
        <f>IF(OR($B295="",$C295=""),"",$C295-$B295)</f>
        <v/>
      </c>
    </row>
    <row r="296">
      <c r="A296" s="2" t="n">
        <v>295</v>
      </c>
      <c r="B296">
        <f>IFERROR(INDEX('2001'!$O$2:$O$489,MATCH($A296,'2001'!$A$2:$A$489,0)),"")</f>
        <v/>
      </c>
      <c r="C296">
        <f>IFERROR(INDEX('2011'!$N$2:$N$490,MATCH($A296,'2011'!$A$2:$A$490,0)),"")</f>
        <v/>
      </c>
      <c r="D296" s="3">
        <f>IFERROR(INDEX('2001'!$Y$2:$Y$489,MATCH($A296,'2001'!$A$2:$A$489,0)),"")</f>
        <v/>
      </c>
      <c r="E296" s="3">
        <f>IFERROR(INDEX('2011'!$X$2:$X$490,MATCH($A296,'2011'!$A$2:$A$490,0)),"")</f>
        <v/>
      </c>
      <c r="F296" s="4">
        <f>IF(OR($D296="",$E296=""),"",$E296-$D296)</f>
        <v/>
      </c>
      <c r="G296">
        <f>IF(OR($B296="",$C296=""),"",$C296-$B296)</f>
        <v/>
      </c>
    </row>
    <row r="297">
      <c r="A297" s="2" t="n">
        <v>296</v>
      </c>
      <c r="B297">
        <f>IFERROR(INDEX('2001'!$O$2:$O$489,MATCH($A297,'2001'!$A$2:$A$489,0)),"")</f>
        <v/>
      </c>
      <c r="C297">
        <f>IFERROR(INDEX('2011'!$N$2:$N$490,MATCH($A297,'2011'!$A$2:$A$490,0)),"")</f>
        <v/>
      </c>
      <c r="D297" s="3">
        <f>IFERROR(INDEX('2001'!$Y$2:$Y$489,MATCH($A297,'2001'!$A$2:$A$489,0)),"")</f>
        <v/>
      </c>
      <c r="E297" s="3">
        <f>IFERROR(INDEX('2011'!$X$2:$X$490,MATCH($A297,'2011'!$A$2:$A$490,0)),"")</f>
        <v/>
      </c>
      <c r="F297" s="4">
        <f>IF(OR($D297="",$E297=""),"",$E297-$D297)</f>
        <v/>
      </c>
      <c r="G297">
        <f>IF(OR($B297="",$C297=""),"",$C297-$B297)</f>
        <v/>
      </c>
    </row>
    <row r="298">
      <c r="A298" s="2" t="n">
        <v>297</v>
      </c>
      <c r="B298">
        <f>IFERROR(INDEX('2001'!$O$2:$O$489,MATCH($A298,'2001'!$A$2:$A$489,0)),"")</f>
        <v/>
      </c>
      <c r="C298">
        <f>IFERROR(INDEX('2011'!$N$2:$N$490,MATCH($A298,'2011'!$A$2:$A$490,0)),"")</f>
        <v/>
      </c>
      <c r="D298" s="3">
        <f>IFERROR(INDEX('2001'!$Y$2:$Y$489,MATCH($A298,'2001'!$A$2:$A$489,0)),"")</f>
        <v/>
      </c>
      <c r="E298" s="3">
        <f>IFERROR(INDEX('2011'!$X$2:$X$490,MATCH($A298,'2011'!$A$2:$A$490,0)),"")</f>
        <v/>
      </c>
      <c r="F298" s="4">
        <f>IF(OR($D298="",$E298=""),"",$E298-$D298)</f>
        <v/>
      </c>
      <c r="G298">
        <f>IF(OR($B298="",$C298=""),"",$C298-$B298)</f>
        <v/>
      </c>
    </row>
    <row r="299">
      <c r="A299" s="2" t="n">
        <v>298</v>
      </c>
      <c r="B299">
        <f>IFERROR(INDEX('2001'!$O$2:$O$489,MATCH($A299,'2001'!$A$2:$A$489,0)),"")</f>
        <v/>
      </c>
      <c r="C299">
        <f>IFERROR(INDEX('2011'!$N$2:$N$490,MATCH($A299,'2011'!$A$2:$A$490,0)),"")</f>
        <v/>
      </c>
      <c r="D299" s="3">
        <f>IFERROR(INDEX('2001'!$Y$2:$Y$489,MATCH($A299,'2001'!$A$2:$A$489,0)),"")</f>
        <v/>
      </c>
      <c r="E299" s="3">
        <f>IFERROR(INDEX('2011'!$X$2:$X$490,MATCH($A299,'2011'!$A$2:$A$490,0)),"")</f>
        <v/>
      </c>
      <c r="F299" s="4">
        <f>IF(OR($D299="",$E299=""),"",$E299-$D299)</f>
        <v/>
      </c>
      <c r="G299">
        <f>IF(OR($B299="",$C299=""),"",$C299-$B299)</f>
        <v/>
      </c>
    </row>
    <row r="300">
      <c r="A300" s="2" t="n">
        <v>299</v>
      </c>
      <c r="B300">
        <f>IFERROR(INDEX('2001'!$O$2:$O$489,MATCH($A300,'2001'!$A$2:$A$489,0)),"")</f>
        <v/>
      </c>
      <c r="C300">
        <f>IFERROR(INDEX('2011'!$N$2:$N$490,MATCH($A300,'2011'!$A$2:$A$490,0)),"")</f>
        <v/>
      </c>
      <c r="D300" s="3">
        <f>IFERROR(INDEX('2001'!$Y$2:$Y$489,MATCH($A300,'2001'!$A$2:$A$489,0)),"")</f>
        <v/>
      </c>
      <c r="E300" s="3">
        <f>IFERROR(INDEX('2011'!$X$2:$X$490,MATCH($A300,'2011'!$A$2:$A$490,0)),"")</f>
        <v/>
      </c>
      <c r="F300" s="4">
        <f>IF(OR($D300="",$E300=""),"",$E300-$D300)</f>
        <v/>
      </c>
      <c r="G300">
        <f>IF(OR($B300="",$C300=""),"",$C300-$B300)</f>
        <v/>
      </c>
    </row>
    <row r="301">
      <c r="A301" s="2" t="n">
        <v>300</v>
      </c>
      <c r="B301">
        <f>IFERROR(INDEX('2001'!$O$2:$O$489,MATCH($A301,'2001'!$A$2:$A$489,0)),"")</f>
        <v/>
      </c>
      <c r="C301">
        <f>IFERROR(INDEX('2011'!$N$2:$N$490,MATCH($A301,'2011'!$A$2:$A$490,0)),"")</f>
        <v/>
      </c>
      <c r="D301" s="3">
        <f>IFERROR(INDEX('2001'!$Y$2:$Y$489,MATCH($A301,'2001'!$A$2:$A$489,0)),"")</f>
        <v/>
      </c>
      <c r="E301" s="3">
        <f>IFERROR(INDEX('2011'!$X$2:$X$490,MATCH($A301,'2011'!$A$2:$A$490,0)),"")</f>
        <v/>
      </c>
      <c r="F301" s="4">
        <f>IF(OR($D301="",$E301=""),"",$E301-$D301)</f>
        <v/>
      </c>
      <c r="G301">
        <f>IF(OR($B301="",$C301=""),"",$C301-$B301)</f>
        <v/>
      </c>
    </row>
    <row r="302">
      <c r="A302" s="2" t="n">
        <v>301</v>
      </c>
      <c r="B302">
        <f>IFERROR(INDEX('2001'!$O$2:$O$489,MATCH($A302,'2001'!$A$2:$A$489,0)),"")</f>
        <v/>
      </c>
      <c r="C302">
        <f>IFERROR(INDEX('2011'!$N$2:$N$490,MATCH($A302,'2011'!$A$2:$A$490,0)),"")</f>
        <v/>
      </c>
      <c r="D302" s="3">
        <f>IFERROR(INDEX('2001'!$Y$2:$Y$489,MATCH($A302,'2001'!$A$2:$A$489,0)),"")</f>
        <v/>
      </c>
      <c r="E302" s="3">
        <f>IFERROR(INDEX('2011'!$X$2:$X$490,MATCH($A302,'2011'!$A$2:$A$490,0)),"")</f>
        <v/>
      </c>
      <c r="F302" s="4">
        <f>IF(OR($D302="",$E302=""),"",$E302-$D302)</f>
        <v/>
      </c>
      <c r="G302">
        <f>IF(OR($B302="",$C302=""),"",$C302-$B302)</f>
        <v/>
      </c>
    </row>
    <row r="303">
      <c r="A303" s="2" t="n">
        <v>302</v>
      </c>
      <c r="B303">
        <f>IFERROR(INDEX('2001'!$O$2:$O$489,MATCH($A303,'2001'!$A$2:$A$489,0)),"")</f>
        <v/>
      </c>
      <c r="C303">
        <f>IFERROR(INDEX('2011'!$N$2:$N$490,MATCH($A303,'2011'!$A$2:$A$490,0)),"")</f>
        <v/>
      </c>
      <c r="D303" s="3">
        <f>IFERROR(INDEX('2001'!$Y$2:$Y$489,MATCH($A303,'2001'!$A$2:$A$489,0)),"")</f>
        <v/>
      </c>
      <c r="E303" s="3">
        <f>IFERROR(INDEX('2011'!$X$2:$X$490,MATCH($A303,'2011'!$A$2:$A$490,0)),"")</f>
        <v/>
      </c>
      <c r="F303" s="4">
        <f>IF(OR($D303="",$E303=""),"",$E303-$D303)</f>
        <v/>
      </c>
      <c r="G303">
        <f>IF(OR($B303="",$C303=""),"",$C303-$B303)</f>
        <v/>
      </c>
    </row>
    <row r="304">
      <c r="A304" s="2" t="n">
        <v>303</v>
      </c>
      <c r="B304">
        <f>IFERROR(INDEX('2001'!$O$2:$O$489,MATCH($A304,'2001'!$A$2:$A$489,0)),"")</f>
        <v/>
      </c>
      <c r="C304">
        <f>IFERROR(INDEX('2011'!$N$2:$N$490,MATCH($A304,'2011'!$A$2:$A$490,0)),"")</f>
        <v/>
      </c>
      <c r="D304" s="3">
        <f>IFERROR(INDEX('2001'!$Y$2:$Y$489,MATCH($A304,'2001'!$A$2:$A$489,0)),"")</f>
        <v/>
      </c>
      <c r="E304" s="3">
        <f>IFERROR(INDEX('2011'!$X$2:$X$490,MATCH($A304,'2011'!$A$2:$A$490,0)),"")</f>
        <v/>
      </c>
      <c r="F304" s="4">
        <f>IF(OR($D304="",$E304=""),"",$E304-$D304)</f>
        <v/>
      </c>
      <c r="G304">
        <f>IF(OR($B304="",$C304=""),"",$C304-$B304)</f>
        <v/>
      </c>
    </row>
    <row r="305">
      <c r="A305" s="2" t="n">
        <v>304</v>
      </c>
      <c r="B305">
        <f>IFERROR(INDEX('2001'!$O$2:$O$489,MATCH($A305,'2001'!$A$2:$A$489,0)),"")</f>
        <v/>
      </c>
      <c r="C305">
        <f>IFERROR(INDEX('2011'!$N$2:$N$490,MATCH($A305,'2011'!$A$2:$A$490,0)),"")</f>
        <v/>
      </c>
      <c r="D305" s="3">
        <f>IFERROR(INDEX('2001'!$Y$2:$Y$489,MATCH($A305,'2001'!$A$2:$A$489,0)),"")</f>
        <v/>
      </c>
      <c r="E305" s="3">
        <f>IFERROR(INDEX('2011'!$X$2:$X$490,MATCH($A305,'2011'!$A$2:$A$490,0)),"")</f>
        <v/>
      </c>
      <c r="F305" s="4">
        <f>IF(OR($D305="",$E305=""),"",$E305-$D305)</f>
        <v/>
      </c>
      <c r="G305">
        <f>IF(OR($B305="",$C305=""),"",$C305-$B305)</f>
        <v/>
      </c>
    </row>
    <row r="306">
      <c r="A306" s="2" t="n">
        <v>305</v>
      </c>
      <c r="B306">
        <f>IFERROR(INDEX('2001'!$O$2:$O$489,MATCH($A306,'2001'!$A$2:$A$489,0)),"")</f>
        <v/>
      </c>
      <c r="C306">
        <f>IFERROR(INDEX('2011'!$N$2:$N$490,MATCH($A306,'2011'!$A$2:$A$490,0)),"")</f>
        <v/>
      </c>
      <c r="D306" s="3">
        <f>IFERROR(INDEX('2001'!$Y$2:$Y$489,MATCH($A306,'2001'!$A$2:$A$489,0)),"")</f>
        <v/>
      </c>
      <c r="E306" s="3">
        <f>IFERROR(INDEX('2011'!$X$2:$X$490,MATCH($A306,'2011'!$A$2:$A$490,0)),"")</f>
        <v/>
      </c>
      <c r="F306" s="4">
        <f>IF(OR($D306="",$E306=""),"",$E306-$D306)</f>
        <v/>
      </c>
      <c r="G306">
        <f>IF(OR($B306="",$C306=""),"",$C306-$B306)</f>
        <v/>
      </c>
    </row>
    <row r="307">
      <c r="A307" s="2" t="n">
        <v>306</v>
      </c>
      <c r="B307">
        <f>IFERROR(INDEX('2001'!$O$2:$O$489,MATCH($A307,'2001'!$A$2:$A$489,0)),"")</f>
        <v/>
      </c>
      <c r="C307">
        <f>IFERROR(INDEX('2011'!$N$2:$N$490,MATCH($A307,'2011'!$A$2:$A$490,0)),"")</f>
        <v/>
      </c>
      <c r="D307" s="3">
        <f>IFERROR(INDEX('2001'!$Y$2:$Y$489,MATCH($A307,'2001'!$A$2:$A$489,0)),"")</f>
        <v/>
      </c>
      <c r="E307" s="3">
        <f>IFERROR(INDEX('2011'!$X$2:$X$490,MATCH($A307,'2011'!$A$2:$A$490,0)),"")</f>
        <v/>
      </c>
      <c r="F307" s="4">
        <f>IF(OR($D307="",$E307=""),"",$E307-$D307)</f>
        <v/>
      </c>
      <c r="G307">
        <f>IF(OR($B307="",$C307=""),"",$C307-$B307)</f>
        <v/>
      </c>
    </row>
    <row r="308">
      <c r="A308" s="2" t="n">
        <v>307</v>
      </c>
      <c r="B308">
        <f>IFERROR(INDEX('2001'!$O$2:$O$489,MATCH($A308,'2001'!$A$2:$A$489,0)),"")</f>
        <v/>
      </c>
      <c r="C308">
        <f>IFERROR(INDEX('2011'!$N$2:$N$490,MATCH($A308,'2011'!$A$2:$A$490,0)),"")</f>
        <v/>
      </c>
      <c r="D308" s="3">
        <f>IFERROR(INDEX('2001'!$Y$2:$Y$489,MATCH($A308,'2001'!$A$2:$A$489,0)),"")</f>
        <v/>
      </c>
      <c r="E308" s="3">
        <f>IFERROR(INDEX('2011'!$X$2:$X$490,MATCH($A308,'2011'!$A$2:$A$490,0)),"")</f>
        <v/>
      </c>
      <c r="F308" s="4">
        <f>IF(OR($D308="",$E308=""),"",$E308-$D308)</f>
        <v/>
      </c>
      <c r="G308">
        <f>IF(OR($B308="",$C308=""),"",$C308-$B308)</f>
        <v/>
      </c>
    </row>
    <row r="309">
      <c r="A309" s="2" t="n">
        <v>308</v>
      </c>
      <c r="B309">
        <f>IFERROR(INDEX('2001'!$O$2:$O$489,MATCH($A309,'2001'!$A$2:$A$489,0)),"")</f>
        <v/>
      </c>
      <c r="C309">
        <f>IFERROR(INDEX('2011'!$N$2:$N$490,MATCH($A309,'2011'!$A$2:$A$490,0)),"")</f>
        <v/>
      </c>
      <c r="D309" s="3">
        <f>IFERROR(INDEX('2001'!$Y$2:$Y$489,MATCH($A309,'2001'!$A$2:$A$489,0)),"")</f>
        <v/>
      </c>
      <c r="E309" s="3">
        <f>IFERROR(INDEX('2011'!$X$2:$X$490,MATCH($A309,'2011'!$A$2:$A$490,0)),"")</f>
        <v/>
      </c>
      <c r="F309" s="4">
        <f>IF(OR($D309="",$E309=""),"",$E309-$D309)</f>
        <v/>
      </c>
      <c r="G309">
        <f>IF(OR($B309="",$C309=""),"",$C309-$B309)</f>
        <v/>
      </c>
    </row>
    <row r="310">
      <c r="A310" s="2" t="n">
        <v>309</v>
      </c>
      <c r="B310">
        <f>IFERROR(INDEX('2001'!$O$2:$O$489,MATCH($A310,'2001'!$A$2:$A$489,0)),"")</f>
        <v/>
      </c>
      <c r="C310">
        <f>IFERROR(INDEX('2011'!$N$2:$N$490,MATCH($A310,'2011'!$A$2:$A$490,0)),"")</f>
        <v/>
      </c>
      <c r="D310" s="3">
        <f>IFERROR(INDEX('2001'!$Y$2:$Y$489,MATCH($A310,'2001'!$A$2:$A$489,0)),"")</f>
        <v/>
      </c>
      <c r="E310" s="3">
        <f>IFERROR(INDEX('2011'!$X$2:$X$490,MATCH($A310,'2011'!$A$2:$A$490,0)),"")</f>
        <v/>
      </c>
      <c r="F310" s="4">
        <f>IF(OR($D310="",$E310=""),"",$E310-$D310)</f>
        <v/>
      </c>
      <c r="G310">
        <f>IF(OR($B310="",$C310=""),"",$C310-$B310)</f>
        <v/>
      </c>
    </row>
    <row r="311">
      <c r="A311" s="2" t="n">
        <v>310</v>
      </c>
      <c r="B311">
        <f>IFERROR(INDEX('2001'!$O$2:$O$489,MATCH($A311,'2001'!$A$2:$A$489,0)),"")</f>
        <v/>
      </c>
      <c r="C311">
        <f>IFERROR(INDEX('2011'!$N$2:$N$490,MATCH($A311,'2011'!$A$2:$A$490,0)),"")</f>
        <v/>
      </c>
      <c r="D311" s="3">
        <f>IFERROR(INDEX('2001'!$Y$2:$Y$489,MATCH($A311,'2001'!$A$2:$A$489,0)),"")</f>
        <v/>
      </c>
      <c r="E311" s="3">
        <f>IFERROR(INDEX('2011'!$X$2:$X$490,MATCH($A311,'2011'!$A$2:$A$490,0)),"")</f>
        <v/>
      </c>
      <c r="F311" s="4">
        <f>IF(OR($D311="",$E311=""),"",$E311-$D311)</f>
        <v/>
      </c>
      <c r="G311">
        <f>IF(OR($B311="",$C311=""),"",$C311-$B311)</f>
        <v/>
      </c>
    </row>
    <row r="312">
      <c r="A312" s="2" t="n">
        <v>311</v>
      </c>
      <c r="B312">
        <f>IFERROR(INDEX('2001'!$O$2:$O$489,MATCH($A312,'2001'!$A$2:$A$489,0)),"")</f>
        <v/>
      </c>
      <c r="C312">
        <f>IFERROR(INDEX('2011'!$N$2:$N$490,MATCH($A312,'2011'!$A$2:$A$490,0)),"")</f>
        <v/>
      </c>
      <c r="D312" s="3">
        <f>IFERROR(INDEX('2001'!$Y$2:$Y$489,MATCH($A312,'2001'!$A$2:$A$489,0)),"")</f>
        <v/>
      </c>
      <c r="E312" s="3">
        <f>IFERROR(INDEX('2011'!$X$2:$X$490,MATCH($A312,'2011'!$A$2:$A$490,0)),"")</f>
        <v/>
      </c>
      <c r="F312" s="4">
        <f>IF(OR($D312="",$E312=""),"",$E312-$D312)</f>
        <v/>
      </c>
      <c r="G312">
        <f>IF(OR($B312="",$C312=""),"",$C312-$B312)</f>
        <v/>
      </c>
    </row>
    <row r="313">
      <c r="A313" s="2" t="n">
        <v>312</v>
      </c>
      <c r="B313">
        <f>IFERROR(INDEX('2001'!$O$2:$O$489,MATCH($A313,'2001'!$A$2:$A$489,0)),"")</f>
        <v/>
      </c>
      <c r="C313">
        <f>IFERROR(INDEX('2011'!$N$2:$N$490,MATCH($A313,'2011'!$A$2:$A$490,0)),"")</f>
        <v/>
      </c>
      <c r="D313" s="3">
        <f>IFERROR(INDEX('2001'!$Y$2:$Y$489,MATCH($A313,'2001'!$A$2:$A$489,0)),"")</f>
        <v/>
      </c>
      <c r="E313" s="3">
        <f>IFERROR(INDEX('2011'!$X$2:$X$490,MATCH($A313,'2011'!$A$2:$A$490,0)),"")</f>
        <v/>
      </c>
      <c r="F313" s="4">
        <f>IF(OR($D313="",$E313=""),"",$E313-$D313)</f>
        <v/>
      </c>
      <c r="G313">
        <f>IF(OR($B313="",$C313=""),"",$C313-$B313)</f>
        <v/>
      </c>
    </row>
    <row r="314">
      <c r="A314" s="2" t="n">
        <v>313</v>
      </c>
      <c r="B314">
        <f>IFERROR(INDEX('2001'!$O$2:$O$489,MATCH($A314,'2001'!$A$2:$A$489,0)),"")</f>
        <v/>
      </c>
      <c r="C314">
        <f>IFERROR(INDEX('2011'!$N$2:$N$490,MATCH($A314,'2011'!$A$2:$A$490,0)),"")</f>
        <v/>
      </c>
      <c r="D314" s="3">
        <f>IFERROR(INDEX('2001'!$Y$2:$Y$489,MATCH($A314,'2001'!$A$2:$A$489,0)),"")</f>
        <v/>
      </c>
      <c r="E314" s="3">
        <f>IFERROR(INDEX('2011'!$X$2:$X$490,MATCH($A314,'2011'!$A$2:$A$490,0)),"")</f>
        <v/>
      </c>
      <c r="F314" s="4">
        <f>IF(OR($D314="",$E314=""),"",$E314-$D314)</f>
        <v/>
      </c>
      <c r="G314">
        <f>IF(OR($B314="",$C314=""),"",$C314-$B314)</f>
        <v/>
      </c>
    </row>
    <row r="315">
      <c r="A315" s="2" t="n">
        <v>314</v>
      </c>
      <c r="B315">
        <f>IFERROR(INDEX('2001'!$O$2:$O$489,MATCH($A315,'2001'!$A$2:$A$489,0)),"")</f>
        <v/>
      </c>
      <c r="C315">
        <f>IFERROR(INDEX('2011'!$N$2:$N$490,MATCH($A315,'2011'!$A$2:$A$490,0)),"")</f>
        <v/>
      </c>
      <c r="D315" s="3">
        <f>IFERROR(INDEX('2001'!$Y$2:$Y$489,MATCH($A315,'2001'!$A$2:$A$489,0)),"")</f>
        <v/>
      </c>
      <c r="E315" s="3">
        <f>IFERROR(INDEX('2011'!$X$2:$X$490,MATCH($A315,'2011'!$A$2:$A$490,0)),"")</f>
        <v/>
      </c>
      <c r="F315" s="4">
        <f>IF(OR($D315="",$E315=""),"",$E315-$D315)</f>
        <v/>
      </c>
      <c r="G315">
        <f>IF(OR($B315="",$C315=""),"",$C315-$B315)</f>
        <v/>
      </c>
    </row>
    <row r="316">
      <c r="A316" s="2" t="n">
        <v>315</v>
      </c>
      <c r="B316">
        <f>IFERROR(INDEX('2001'!$O$2:$O$489,MATCH($A316,'2001'!$A$2:$A$489,0)),"")</f>
        <v/>
      </c>
      <c r="C316">
        <f>IFERROR(INDEX('2011'!$N$2:$N$490,MATCH($A316,'2011'!$A$2:$A$490,0)),"")</f>
        <v/>
      </c>
      <c r="D316" s="3">
        <f>IFERROR(INDEX('2001'!$Y$2:$Y$489,MATCH($A316,'2001'!$A$2:$A$489,0)),"")</f>
        <v/>
      </c>
      <c r="E316" s="3">
        <f>IFERROR(INDEX('2011'!$X$2:$X$490,MATCH($A316,'2011'!$A$2:$A$490,0)),"")</f>
        <v/>
      </c>
      <c r="F316" s="4">
        <f>IF(OR($D316="",$E316=""),"",$E316-$D316)</f>
        <v/>
      </c>
      <c r="G316">
        <f>IF(OR($B316="",$C316=""),"",$C316-$B316)</f>
        <v/>
      </c>
    </row>
    <row r="317">
      <c r="A317" s="2" t="n">
        <v>316</v>
      </c>
      <c r="B317">
        <f>IFERROR(INDEX('2001'!$O$2:$O$489,MATCH($A317,'2001'!$A$2:$A$489,0)),"")</f>
        <v/>
      </c>
      <c r="C317">
        <f>IFERROR(INDEX('2011'!$N$2:$N$490,MATCH($A317,'2011'!$A$2:$A$490,0)),"")</f>
        <v/>
      </c>
      <c r="D317" s="3">
        <f>IFERROR(INDEX('2001'!$Y$2:$Y$489,MATCH($A317,'2001'!$A$2:$A$489,0)),"")</f>
        <v/>
      </c>
      <c r="E317" s="3">
        <f>IFERROR(INDEX('2011'!$X$2:$X$490,MATCH($A317,'2011'!$A$2:$A$490,0)),"")</f>
        <v/>
      </c>
      <c r="F317" s="4">
        <f>IF(OR($D317="",$E317=""),"",$E317-$D317)</f>
        <v/>
      </c>
      <c r="G317">
        <f>IF(OR($B317="",$C317=""),"",$C317-$B317)</f>
        <v/>
      </c>
    </row>
    <row r="318">
      <c r="A318" s="2" t="n">
        <v>317</v>
      </c>
      <c r="B318">
        <f>IFERROR(INDEX('2001'!$O$2:$O$489,MATCH($A318,'2001'!$A$2:$A$489,0)),"")</f>
        <v/>
      </c>
      <c r="C318">
        <f>IFERROR(INDEX('2011'!$N$2:$N$490,MATCH($A318,'2011'!$A$2:$A$490,0)),"")</f>
        <v/>
      </c>
      <c r="D318" s="3">
        <f>IFERROR(INDEX('2001'!$Y$2:$Y$489,MATCH($A318,'2001'!$A$2:$A$489,0)),"")</f>
        <v/>
      </c>
      <c r="E318" s="3">
        <f>IFERROR(INDEX('2011'!$X$2:$X$490,MATCH($A318,'2011'!$A$2:$A$490,0)),"")</f>
        <v/>
      </c>
      <c r="F318" s="4">
        <f>IF(OR($D318="",$E318=""),"",$E318-$D318)</f>
        <v/>
      </c>
      <c r="G318">
        <f>IF(OR($B318="",$C318=""),"",$C318-$B318)</f>
        <v/>
      </c>
    </row>
    <row r="319">
      <c r="A319" s="2" t="n">
        <v>318</v>
      </c>
      <c r="B319">
        <f>IFERROR(INDEX('2001'!$O$2:$O$489,MATCH($A319,'2001'!$A$2:$A$489,0)),"")</f>
        <v/>
      </c>
      <c r="C319">
        <f>IFERROR(INDEX('2011'!$N$2:$N$490,MATCH($A319,'2011'!$A$2:$A$490,0)),"")</f>
        <v/>
      </c>
      <c r="D319" s="3">
        <f>IFERROR(INDEX('2001'!$Y$2:$Y$489,MATCH($A319,'2001'!$A$2:$A$489,0)),"")</f>
        <v/>
      </c>
      <c r="E319" s="3">
        <f>IFERROR(INDEX('2011'!$X$2:$X$490,MATCH($A319,'2011'!$A$2:$A$490,0)),"")</f>
        <v/>
      </c>
      <c r="F319" s="4">
        <f>IF(OR($D319="",$E319=""),"",$E319-$D319)</f>
        <v/>
      </c>
      <c r="G319">
        <f>IF(OR($B319="",$C319=""),"",$C319-$B319)</f>
        <v/>
      </c>
    </row>
    <row r="320">
      <c r="A320" s="2" t="n">
        <v>319</v>
      </c>
      <c r="B320">
        <f>IFERROR(INDEX('2001'!$O$2:$O$489,MATCH($A320,'2001'!$A$2:$A$489,0)),"")</f>
        <v/>
      </c>
      <c r="C320">
        <f>IFERROR(INDEX('2011'!$N$2:$N$490,MATCH($A320,'2011'!$A$2:$A$490,0)),"")</f>
        <v/>
      </c>
      <c r="D320" s="3">
        <f>IFERROR(INDEX('2001'!$Y$2:$Y$489,MATCH($A320,'2001'!$A$2:$A$489,0)),"")</f>
        <v/>
      </c>
      <c r="E320" s="3">
        <f>IFERROR(INDEX('2011'!$X$2:$X$490,MATCH($A320,'2011'!$A$2:$A$490,0)),"")</f>
        <v/>
      </c>
      <c r="F320" s="4">
        <f>IF(OR($D320="",$E320=""),"",$E320-$D320)</f>
        <v/>
      </c>
      <c r="G320">
        <f>IF(OR($B320="",$C320=""),"",$C320-$B320)</f>
        <v/>
      </c>
    </row>
    <row r="321">
      <c r="A321" s="2" t="n">
        <v>320</v>
      </c>
      <c r="B321">
        <f>IFERROR(INDEX('2001'!$O$2:$O$489,MATCH($A321,'2001'!$A$2:$A$489,0)),"")</f>
        <v/>
      </c>
      <c r="C321">
        <f>IFERROR(INDEX('2011'!$N$2:$N$490,MATCH($A321,'2011'!$A$2:$A$490,0)),"")</f>
        <v/>
      </c>
      <c r="D321" s="3">
        <f>IFERROR(INDEX('2001'!$Y$2:$Y$489,MATCH($A321,'2001'!$A$2:$A$489,0)),"")</f>
        <v/>
      </c>
      <c r="E321" s="3">
        <f>IFERROR(INDEX('2011'!$X$2:$X$490,MATCH($A321,'2011'!$A$2:$A$490,0)),"")</f>
        <v/>
      </c>
      <c r="F321" s="4">
        <f>IF(OR($D321="",$E321=""),"",$E321-$D321)</f>
        <v/>
      </c>
      <c r="G321">
        <f>IF(OR($B321="",$C321=""),"",$C321-$B321)</f>
        <v/>
      </c>
    </row>
    <row r="322">
      <c r="A322" s="2" t="n">
        <v>321</v>
      </c>
      <c r="B322">
        <f>IFERROR(INDEX('2001'!$O$2:$O$489,MATCH($A322,'2001'!$A$2:$A$489,0)),"")</f>
        <v/>
      </c>
      <c r="C322">
        <f>IFERROR(INDEX('2011'!$N$2:$N$490,MATCH($A322,'2011'!$A$2:$A$490,0)),"")</f>
        <v/>
      </c>
      <c r="D322" s="3">
        <f>IFERROR(INDEX('2001'!$Y$2:$Y$489,MATCH($A322,'2001'!$A$2:$A$489,0)),"")</f>
        <v/>
      </c>
      <c r="E322" s="3">
        <f>IFERROR(INDEX('2011'!$X$2:$X$490,MATCH($A322,'2011'!$A$2:$A$490,0)),"")</f>
        <v/>
      </c>
      <c r="F322" s="4">
        <f>IF(OR($D322="",$E322=""),"",$E322-$D322)</f>
        <v/>
      </c>
      <c r="G322">
        <f>IF(OR($B322="",$C322=""),"",$C322-$B322)</f>
        <v/>
      </c>
    </row>
    <row r="323">
      <c r="A323" s="2" t="n">
        <v>322</v>
      </c>
      <c r="B323">
        <f>IFERROR(INDEX('2001'!$O$2:$O$489,MATCH($A323,'2001'!$A$2:$A$489,0)),"")</f>
        <v/>
      </c>
      <c r="C323">
        <f>IFERROR(INDEX('2011'!$N$2:$N$490,MATCH($A323,'2011'!$A$2:$A$490,0)),"")</f>
        <v/>
      </c>
      <c r="D323" s="3">
        <f>IFERROR(INDEX('2001'!$Y$2:$Y$489,MATCH($A323,'2001'!$A$2:$A$489,0)),"")</f>
        <v/>
      </c>
      <c r="E323" s="3">
        <f>IFERROR(INDEX('2011'!$X$2:$X$490,MATCH($A323,'2011'!$A$2:$A$490,0)),"")</f>
        <v/>
      </c>
      <c r="F323" s="4">
        <f>IF(OR($D323="",$E323=""),"",$E323-$D323)</f>
        <v/>
      </c>
      <c r="G323">
        <f>IF(OR($B323="",$C323=""),"",$C323-$B323)</f>
        <v/>
      </c>
    </row>
    <row r="324">
      <c r="A324" s="2" t="n">
        <v>323</v>
      </c>
      <c r="B324">
        <f>IFERROR(INDEX('2001'!$O$2:$O$489,MATCH($A324,'2001'!$A$2:$A$489,0)),"")</f>
        <v/>
      </c>
      <c r="C324">
        <f>IFERROR(INDEX('2011'!$N$2:$N$490,MATCH($A324,'2011'!$A$2:$A$490,0)),"")</f>
        <v/>
      </c>
      <c r="D324" s="3">
        <f>IFERROR(INDEX('2001'!$Y$2:$Y$489,MATCH($A324,'2001'!$A$2:$A$489,0)),"")</f>
        <v/>
      </c>
      <c r="E324" s="3">
        <f>IFERROR(INDEX('2011'!$X$2:$X$490,MATCH($A324,'2011'!$A$2:$A$490,0)),"")</f>
        <v/>
      </c>
      <c r="F324" s="4">
        <f>IF(OR($D324="",$E324=""),"",$E324-$D324)</f>
        <v/>
      </c>
      <c r="G324">
        <f>IF(OR($B324="",$C324=""),"",$C324-$B324)</f>
        <v/>
      </c>
    </row>
    <row r="325">
      <c r="A325" s="2" t="n">
        <v>324</v>
      </c>
      <c r="B325">
        <f>IFERROR(INDEX('2001'!$O$2:$O$489,MATCH($A325,'2001'!$A$2:$A$489,0)),"")</f>
        <v/>
      </c>
      <c r="C325">
        <f>IFERROR(INDEX('2011'!$N$2:$N$490,MATCH($A325,'2011'!$A$2:$A$490,0)),"")</f>
        <v/>
      </c>
      <c r="D325" s="3">
        <f>IFERROR(INDEX('2001'!$Y$2:$Y$489,MATCH($A325,'2001'!$A$2:$A$489,0)),"")</f>
        <v/>
      </c>
      <c r="E325" s="3">
        <f>IFERROR(INDEX('2011'!$X$2:$X$490,MATCH($A325,'2011'!$A$2:$A$490,0)),"")</f>
        <v/>
      </c>
      <c r="F325" s="4">
        <f>IF(OR($D325="",$E325=""),"",$E325-$D325)</f>
        <v/>
      </c>
      <c r="G325">
        <f>IF(OR($B325="",$C325=""),"",$C325-$B325)</f>
        <v/>
      </c>
    </row>
    <row r="326">
      <c r="A326" s="2" t="n">
        <v>325</v>
      </c>
      <c r="B326">
        <f>IFERROR(INDEX('2001'!$O$2:$O$489,MATCH($A326,'2001'!$A$2:$A$489,0)),"")</f>
        <v/>
      </c>
      <c r="C326">
        <f>IFERROR(INDEX('2011'!$N$2:$N$490,MATCH($A326,'2011'!$A$2:$A$490,0)),"")</f>
        <v/>
      </c>
      <c r="D326" s="3">
        <f>IFERROR(INDEX('2001'!$Y$2:$Y$489,MATCH($A326,'2001'!$A$2:$A$489,0)),"")</f>
        <v/>
      </c>
      <c r="E326" s="3">
        <f>IFERROR(INDEX('2011'!$X$2:$X$490,MATCH($A326,'2011'!$A$2:$A$490,0)),"")</f>
        <v/>
      </c>
      <c r="F326" s="4">
        <f>IF(OR($D326="",$E326=""),"",$E326-$D326)</f>
        <v/>
      </c>
      <c r="G326">
        <f>IF(OR($B326="",$C326=""),"",$C326-$B326)</f>
        <v/>
      </c>
    </row>
    <row r="327">
      <c r="A327" s="2" t="n">
        <v>326</v>
      </c>
      <c r="B327">
        <f>IFERROR(INDEX('2001'!$O$2:$O$489,MATCH($A327,'2001'!$A$2:$A$489,0)),"")</f>
        <v/>
      </c>
      <c r="C327">
        <f>IFERROR(INDEX('2011'!$N$2:$N$490,MATCH($A327,'2011'!$A$2:$A$490,0)),"")</f>
        <v/>
      </c>
      <c r="D327" s="3">
        <f>IFERROR(INDEX('2001'!$Y$2:$Y$489,MATCH($A327,'2001'!$A$2:$A$489,0)),"")</f>
        <v/>
      </c>
      <c r="E327" s="3">
        <f>IFERROR(INDEX('2011'!$X$2:$X$490,MATCH($A327,'2011'!$A$2:$A$490,0)),"")</f>
        <v/>
      </c>
      <c r="F327" s="4">
        <f>IF(OR($D327="",$E327=""),"",$E327-$D327)</f>
        <v/>
      </c>
      <c r="G327">
        <f>IF(OR($B327="",$C327=""),"",$C327-$B327)</f>
        <v/>
      </c>
    </row>
    <row r="328">
      <c r="A328" s="2" t="n">
        <v>327</v>
      </c>
      <c r="B328">
        <f>IFERROR(INDEX('2001'!$O$2:$O$489,MATCH($A328,'2001'!$A$2:$A$489,0)),"")</f>
        <v/>
      </c>
      <c r="C328">
        <f>IFERROR(INDEX('2011'!$N$2:$N$490,MATCH($A328,'2011'!$A$2:$A$490,0)),"")</f>
        <v/>
      </c>
      <c r="D328" s="3">
        <f>IFERROR(INDEX('2001'!$Y$2:$Y$489,MATCH($A328,'2001'!$A$2:$A$489,0)),"")</f>
        <v/>
      </c>
      <c r="E328" s="3">
        <f>IFERROR(INDEX('2011'!$X$2:$X$490,MATCH($A328,'2011'!$A$2:$A$490,0)),"")</f>
        <v/>
      </c>
      <c r="F328" s="4">
        <f>IF(OR($D328="",$E328=""),"",$E328-$D328)</f>
        <v/>
      </c>
      <c r="G328">
        <f>IF(OR($B328="",$C328=""),"",$C328-$B328)</f>
        <v/>
      </c>
    </row>
    <row r="329">
      <c r="A329" s="2" t="n">
        <v>328</v>
      </c>
      <c r="B329">
        <f>IFERROR(INDEX('2001'!$O$2:$O$489,MATCH($A329,'2001'!$A$2:$A$489,0)),"")</f>
        <v/>
      </c>
      <c r="C329">
        <f>IFERROR(INDEX('2011'!$N$2:$N$490,MATCH($A329,'2011'!$A$2:$A$490,0)),"")</f>
        <v/>
      </c>
      <c r="D329" s="3">
        <f>IFERROR(INDEX('2001'!$Y$2:$Y$489,MATCH($A329,'2001'!$A$2:$A$489,0)),"")</f>
        <v/>
      </c>
      <c r="E329" s="3">
        <f>IFERROR(INDEX('2011'!$X$2:$X$490,MATCH($A329,'2011'!$A$2:$A$490,0)),"")</f>
        <v/>
      </c>
      <c r="F329" s="4">
        <f>IF(OR($D329="",$E329=""),"",$E329-$D329)</f>
        <v/>
      </c>
      <c r="G329">
        <f>IF(OR($B329="",$C329=""),"",$C329-$B329)</f>
        <v/>
      </c>
    </row>
    <row r="330">
      <c r="A330" s="2" t="n">
        <v>329</v>
      </c>
      <c r="B330">
        <f>IFERROR(INDEX('2001'!$O$2:$O$489,MATCH($A330,'2001'!$A$2:$A$489,0)),"")</f>
        <v/>
      </c>
      <c r="C330">
        <f>IFERROR(INDEX('2011'!$N$2:$N$490,MATCH($A330,'2011'!$A$2:$A$490,0)),"")</f>
        <v/>
      </c>
      <c r="D330" s="3">
        <f>IFERROR(INDEX('2001'!$Y$2:$Y$489,MATCH($A330,'2001'!$A$2:$A$489,0)),"")</f>
        <v/>
      </c>
      <c r="E330" s="3">
        <f>IFERROR(INDEX('2011'!$X$2:$X$490,MATCH($A330,'2011'!$A$2:$A$490,0)),"")</f>
        <v/>
      </c>
      <c r="F330" s="4">
        <f>IF(OR($D330="",$E330=""),"",$E330-$D330)</f>
        <v/>
      </c>
      <c r="G330">
        <f>IF(OR($B330="",$C330=""),"",$C330-$B330)</f>
        <v/>
      </c>
    </row>
    <row r="331">
      <c r="A331" s="2" t="n">
        <v>330</v>
      </c>
      <c r="B331">
        <f>IFERROR(INDEX('2001'!$O$2:$O$489,MATCH($A331,'2001'!$A$2:$A$489,0)),"")</f>
        <v/>
      </c>
      <c r="C331">
        <f>IFERROR(INDEX('2011'!$N$2:$N$490,MATCH($A331,'2011'!$A$2:$A$490,0)),"")</f>
        <v/>
      </c>
      <c r="D331" s="3">
        <f>IFERROR(INDEX('2001'!$Y$2:$Y$489,MATCH($A331,'2001'!$A$2:$A$489,0)),"")</f>
        <v/>
      </c>
      <c r="E331" s="3">
        <f>IFERROR(INDEX('2011'!$X$2:$X$490,MATCH($A331,'2011'!$A$2:$A$490,0)),"")</f>
        <v/>
      </c>
      <c r="F331" s="4">
        <f>IF(OR($D331="",$E331=""),"",$E331-$D331)</f>
        <v/>
      </c>
      <c r="G331">
        <f>IF(OR($B331="",$C331=""),"",$C331-$B331)</f>
        <v/>
      </c>
    </row>
    <row r="332">
      <c r="A332" s="2" t="n">
        <v>331</v>
      </c>
      <c r="B332">
        <f>IFERROR(INDEX('2001'!$O$2:$O$489,MATCH($A332,'2001'!$A$2:$A$489,0)),"")</f>
        <v/>
      </c>
      <c r="C332">
        <f>IFERROR(INDEX('2011'!$N$2:$N$490,MATCH($A332,'2011'!$A$2:$A$490,0)),"")</f>
        <v/>
      </c>
      <c r="D332" s="3">
        <f>IFERROR(INDEX('2001'!$Y$2:$Y$489,MATCH($A332,'2001'!$A$2:$A$489,0)),"")</f>
        <v/>
      </c>
      <c r="E332" s="3">
        <f>IFERROR(INDEX('2011'!$X$2:$X$490,MATCH($A332,'2011'!$A$2:$A$490,0)),"")</f>
        <v/>
      </c>
      <c r="F332" s="4">
        <f>IF(OR($D332="",$E332=""),"",$E332-$D332)</f>
        <v/>
      </c>
      <c r="G332">
        <f>IF(OR($B332="",$C332=""),"",$C332-$B332)</f>
        <v/>
      </c>
    </row>
    <row r="333">
      <c r="A333" s="2" t="n">
        <v>332</v>
      </c>
      <c r="B333">
        <f>IFERROR(INDEX('2001'!$O$2:$O$489,MATCH($A333,'2001'!$A$2:$A$489,0)),"")</f>
        <v/>
      </c>
      <c r="C333">
        <f>IFERROR(INDEX('2011'!$N$2:$N$490,MATCH($A333,'2011'!$A$2:$A$490,0)),"")</f>
        <v/>
      </c>
      <c r="D333" s="3">
        <f>IFERROR(INDEX('2001'!$Y$2:$Y$489,MATCH($A333,'2001'!$A$2:$A$489,0)),"")</f>
        <v/>
      </c>
      <c r="E333" s="3">
        <f>IFERROR(INDEX('2011'!$X$2:$X$490,MATCH($A333,'2011'!$A$2:$A$490,0)),"")</f>
        <v/>
      </c>
      <c r="F333" s="4">
        <f>IF(OR($D333="",$E333=""),"",$E333-$D333)</f>
        <v/>
      </c>
      <c r="G333">
        <f>IF(OR($B333="",$C333=""),"",$C333-$B333)</f>
        <v/>
      </c>
    </row>
    <row r="334">
      <c r="A334" s="2" t="n">
        <v>333</v>
      </c>
      <c r="B334">
        <f>IFERROR(INDEX('2001'!$O$2:$O$489,MATCH($A334,'2001'!$A$2:$A$489,0)),"")</f>
        <v/>
      </c>
      <c r="C334">
        <f>IFERROR(INDEX('2011'!$N$2:$N$490,MATCH($A334,'2011'!$A$2:$A$490,0)),"")</f>
        <v/>
      </c>
      <c r="D334" s="3">
        <f>IFERROR(INDEX('2001'!$Y$2:$Y$489,MATCH($A334,'2001'!$A$2:$A$489,0)),"")</f>
        <v/>
      </c>
      <c r="E334" s="3">
        <f>IFERROR(INDEX('2011'!$X$2:$X$490,MATCH($A334,'2011'!$A$2:$A$490,0)),"")</f>
        <v/>
      </c>
      <c r="F334" s="4">
        <f>IF(OR($D334="",$E334=""),"",$E334-$D334)</f>
        <v/>
      </c>
      <c r="G334">
        <f>IF(OR($B334="",$C334=""),"",$C334-$B334)</f>
        <v/>
      </c>
    </row>
    <row r="335">
      <c r="A335" s="2" t="n">
        <v>334</v>
      </c>
      <c r="B335">
        <f>IFERROR(INDEX('2001'!$O$2:$O$489,MATCH($A335,'2001'!$A$2:$A$489,0)),"")</f>
        <v/>
      </c>
      <c r="C335">
        <f>IFERROR(INDEX('2011'!$N$2:$N$490,MATCH($A335,'2011'!$A$2:$A$490,0)),"")</f>
        <v/>
      </c>
      <c r="D335" s="3">
        <f>IFERROR(INDEX('2001'!$Y$2:$Y$489,MATCH($A335,'2001'!$A$2:$A$489,0)),"")</f>
        <v/>
      </c>
      <c r="E335" s="3">
        <f>IFERROR(INDEX('2011'!$X$2:$X$490,MATCH($A335,'2011'!$A$2:$A$490,0)),"")</f>
        <v/>
      </c>
      <c r="F335" s="4">
        <f>IF(OR($D335="",$E335=""),"",$E335-$D335)</f>
        <v/>
      </c>
      <c r="G335">
        <f>IF(OR($B335="",$C335=""),"",$C335-$B335)</f>
        <v/>
      </c>
    </row>
    <row r="336">
      <c r="A336" s="2" t="n">
        <v>335</v>
      </c>
      <c r="B336">
        <f>IFERROR(INDEX('2001'!$O$2:$O$489,MATCH($A336,'2001'!$A$2:$A$489,0)),"")</f>
        <v/>
      </c>
      <c r="C336">
        <f>IFERROR(INDEX('2011'!$N$2:$N$490,MATCH($A336,'2011'!$A$2:$A$490,0)),"")</f>
        <v/>
      </c>
      <c r="D336" s="3">
        <f>IFERROR(INDEX('2001'!$Y$2:$Y$489,MATCH($A336,'2001'!$A$2:$A$489,0)),"")</f>
        <v/>
      </c>
      <c r="E336" s="3">
        <f>IFERROR(INDEX('2011'!$X$2:$X$490,MATCH($A336,'2011'!$A$2:$A$490,0)),"")</f>
        <v/>
      </c>
      <c r="F336" s="4">
        <f>IF(OR($D336="",$E336=""),"",$E336-$D336)</f>
        <v/>
      </c>
      <c r="G336">
        <f>IF(OR($B336="",$C336=""),"",$C336-$B336)</f>
        <v/>
      </c>
    </row>
    <row r="337">
      <c r="A337" s="2" t="n">
        <v>336</v>
      </c>
      <c r="B337">
        <f>IFERROR(INDEX('2001'!$O$2:$O$489,MATCH($A337,'2001'!$A$2:$A$489,0)),"")</f>
        <v/>
      </c>
      <c r="C337">
        <f>IFERROR(INDEX('2011'!$N$2:$N$490,MATCH($A337,'2011'!$A$2:$A$490,0)),"")</f>
        <v/>
      </c>
      <c r="D337" s="3">
        <f>IFERROR(INDEX('2001'!$Y$2:$Y$489,MATCH($A337,'2001'!$A$2:$A$489,0)),"")</f>
        <v/>
      </c>
      <c r="E337" s="3">
        <f>IFERROR(INDEX('2011'!$X$2:$X$490,MATCH($A337,'2011'!$A$2:$A$490,0)),"")</f>
        <v/>
      </c>
      <c r="F337" s="4">
        <f>IF(OR($D337="",$E337=""),"",$E337-$D337)</f>
        <v/>
      </c>
      <c r="G337">
        <f>IF(OR($B337="",$C337=""),"",$C337-$B337)</f>
        <v/>
      </c>
    </row>
    <row r="338">
      <c r="A338" s="2" t="n">
        <v>337</v>
      </c>
      <c r="B338">
        <f>IFERROR(INDEX('2001'!$O$2:$O$489,MATCH($A338,'2001'!$A$2:$A$489,0)),"")</f>
        <v/>
      </c>
      <c r="C338">
        <f>IFERROR(INDEX('2011'!$N$2:$N$490,MATCH($A338,'2011'!$A$2:$A$490,0)),"")</f>
        <v/>
      </c>
      <c r="D338" s="3">
        <f>IFERROR(INDEX('2001'!$Y$2:$Y$489,MATCH($A338,'2001'!$A$2:$A$489,0)),"")</f>
        <v/>
      </c>
      <c r="E338" s="3">
        <f>IFERROR(INDEX('2011'!$X$2:$X$490,MATCH($A338,'2011'!$A$2:$A$490,0)),"")</f>
        <v/>
      </c>
      <c r="F338" s="4">
        <f>IF(OR($D338="",$E338=""),"",$E338-$D338)</f>
        <v/>
      </c>
      <c r="G338">
        <f>IF(OR($B338="",$C338=""),"",$C338-$B338)</f>
        <v/>
      </c>
    </row>
    <row r="339">
      <c r="A339" s="2" t="n">
        <v>338</v>
      </c>
      <c r="B339">
        <f>IFERROR(INDEX('2001'!$O$2:$O$489,MATCH($A339,'2001'!$A$2:$A$489,0)),"")</f>
        <v/>
      </c>
      <c r="C339">
        <f>IFERROR(INDEX('2011'!$N$2:$N$490,MATCH($A339,'2011'!$A$2:$A$490,0)),"")</f>
        <v/>
      </c>
      <c r="D339" s="3">
        <f>IFERROR(INDEX('2001'!$Y$2:$Y$489,MATCH($A339,'2001'!$A$2:$A$489,0)),"")</f>
        <v/>
      </c>
      <c r="E339" s="3">
        <f>IFERROR(INDEX('2011'!$X$2:$X$490,MATCH($A339,'2011'!$A$2:$A$490,0)),"")</f>
        <v/>
      </c>
      <c r="F339" s="4">
        <f>IF(OR($D339="",$E339=""),"",$E339-$D339)</f>
        <v/>
      </c>
      <c r="G339">
        <f>IF(OR($B339="",$C339=""),"",$C339-$B339)</f>
        <v/>
      </c>
    </row>
    <row r="340">
      <c r="A340" s="2" t="n">
        <v>339</v>
      </c>
      <c r="B340">
        <f>IFERROR(INDEX('2001'!$O$2:$O$489,MATCH($A340,'2001'!$A$2:$A$489,0)),"")</f>
        <v/>
      </c>
      <c r="C340">
        <f>IFERROR(INDEX('2011'!$N$2:$N$490,MATCH($A340,'2011'!$A$2:$A$490,0)),"")</f>
        <v/>
      </c>
      <c r="D340" s="3">
        <f>IFERROR(INDEX('2001'!$Y$2:$Y$489,MATCH($A340,'2001'!$A$2:$A$489,0)),"")</f>
        <v/>
      </c>
      <c r="E340" s="3">
        <f>IFERROR(INDEX('2011'!$X$2:$X$490,MATCH($A340,'2011'!$A$2:$A$490,0)),"")</f>
        <v/>
      </c>
      <c r="F340" s="4">
        <f>IF(OR($D340="",$E340=""),"",$E340-$D340)</f>
        <v/>
      </c>
      <c r="G340">
        <f>IF(OR($B340="",$C340=""),"",$C340-$B340)</f>
        <v/>
      </c>
    </row>
    <row r="341">
      <c r="A341" s="2" t="n">
        <v>340</v>
      </c>
      <c r="B341">
        <f>IFERROR(INDEX('2001'!$O$2:$O$489,MATCH($A341,'2001'!$A$2:$A$489,0)),"")</f>
        <v/>
      </c>
      <c r="C341">
        <f>IFERROR(INDEX('2011'!$N$2:$N$490,MATCH($A341,'2011'!$A$2:$A$490,0)),"")</f>
        <v/>
      </c>
      <c r="D341" s="3">
        <f>IFERROR(INDEX('2001'!$Y$2:$Y$489,MATCH($A341,'2001'!$A$2:$A$489,0)),"")</f>
        <v/>
      </c>
      <c r="E341" s="3">
        <f>IFERROR(INDEX('2011'!$X$2:$X$490,MATCH($A341,'2011'!$A$2:$A$490,0)),"")</f>
        <v/>
      </c>
      <c r="F341" s="4">
        <f>IF(OR($D341="",$E341=""),"",$E341-$D341)</f>
        <v/>
      </c>
      <c r="G341">
        <f>IF(OR($B341="",$C341=""),"",$C341-$B341)</f>
        <v/>
      </c>
    </row>
    <row r="342">
      <c r="A342" s="2" t="n">
        <v>341</v>
      </c>
      <c r="B342">
        <f>IFERROR(INDEX('2001'!$O$2:$O$489,MATCH($A342,'2001'!$A$2:$A$489,0)),"")</f>
        <v/>
      </c>
      <c r="C342">
        <f>IFERROR(INDEX('2011'!$N$2:$N$490,MATCH($A342,'2011'!$A$2:$A$490,0)),"")</f>
        <v/>
      </c>
      <c r="D342" s="3">
        <f>IFERROR(INDEX('2001'!$Y$2:$Y$489,MATCH($A342,'2001'!$A$2:$A$489,0)),"")</f>
        <v/>
      </c>
      <c r="E342" s="3">
        <f>IFERROR(INDEX('2011'!$X$2:$X$490,MATCH($A342,'2011'!$A$2:$A$490,0)),"")</f>
        <v/>
      </c>
      <c r="F342" s="4">
        <f>IF(OR($D342="",$E342=""),"",$E342-$D342)</f>
        <v/>
      </c>
      <c r="G342">
        <f>IF(OR($B342="",$C342=""),"",$C342-$B342)</f>
        <v/>
      </c>
    </row>
    <row r="343">
      <c r="A343" s="2" t="n">
        <v>342</v>
      </c>
      <c r="B343">
        <f>IFERROR(INDEX('2001'!$O$2:$O$489,MATCH($A343,'2001'!$A$2:$A$489,0)),"")</f>
        <v/>
      </c>
      <c r="C343">
        <f>IFERROR(INDEX('2011'!$N$2:$N$490,MATCH($A343,'2011'!$A$2:$A$490,0)),"")</f>
        <v/>
      </c>
      <c r="D343" s="3">
        <f>IFERROR(INDEX('2001'!$Y$2:$Y$489,MATCH($A343,'2001'!$A$2:$A$489,0)),"")</f>
        <v/>
      </c>
      <c r="E343" s="3">
        <f>IFERROR(INDEX('2011'!$X$2:$X$490,MATCH($A343,'2011'!$A$2:$A$490,0)),"")</f>
        <v/>
      </c>
      <c r="F343" s="4">
        <f>IF(OR($D343="",$E343=""),"",$E343-$D343)</f>
        <v/>
      </c>
      <c r="G343">
        <f>IF(OR($B343="",$C343=""),"",$C343-$B343)</f>
        <v/>
      </c>
    </row>
    <row r="344">
      <c r="A344" s="2" t="n">
        <v>343</v>
      </c>
      <c r="B344">
        <f>IFERROR(INDEX('2001'!$O$2:$O$489,MATCH($A344,'2001'!$A$2:$A$489,0)),"")</f>
        <v/>
      </c>
      <c r="C344">
        <f>IFERROR(INDEX('2011'!$N$2:$N$490,MATCH($A344,'2011'!$A$2:$A$490,0)),"")</f>
        <v/>
      </c>
      <c r="D344" s="3">
        <f>IFERROR(INDEX('2001'!$Y$2:$Y$489,MATCH($A344,'2001'!$A$2:$A$489,0)),"")</f>
        <v/>
      </c>
      <c r="E344" s="3">
        <f>IFERROR(INDEX('2011'!$X$2:$X$490,MATCH($A344,'2011'!$A$2:$A$490,0)),"")</f>
        <v/>
      </c>
      <c r="F344" s="4">
        <f>IF(OR($D344="",$E344=""),"",$E344-$D344)</f>
        <v/>
      </c>
      <c r="G344">
        <f>IF(OR($B344="",$C344=""),"",$C344-$B344)</f>
        <v/>
      </c>
    </row>
    <row r="345">
      <c r="A345" s="2" t="n">
        <v>344</v>
      </c>
      <c r="B345">
        <f>IFERROR(INDEX('2001'!$O$2:$O$489,MATCH($A345,'2001'!$A$2:$A$489,0)),"")</f>
        <v/>
      </c>
      <c r="C345">
        <f>IFERROR(INDEX('2011'!$N$2:$N$490,MATCH($A345,'2011'!$A$2:$A$490,0)),"")</f>
        <v/>
      </c>
      <c r="D345" s="3">
        <f>IFERROR(INDEX('2001'!$Y$2:$Y$489,MATCH($A345,'2001'!$A$2:$A$489,0)),"")</f>
        <v/>
      </c>
      <c r="E345" s="3">
        <f>IFERROR(INDEX('2011'!$X$2:$X$490,MATCH($A345,'2011'!$A$2:$A$490,0)),"")</f>
        <v/>
      </c>
      <c r="F345" s="4">
        <f>IF(OR($D345="",$E345=""),"",$E345-$D345)</f>
        <v/>
      </c>
      <c r="G345">
        <f>IF(OR($B345="",$C345=""),"",$C345-$B345)</f>
        <v/>
      </c>
    </row>
    <row r="346">
      <c r="A346" s="2" t="n">
        <v>345</v>
      </c>
      <c r="B346">
        <f>IFERROR(INDEX('2001'!$O$2:$O$489,MATCH($A346,'2001'!$A$2:$A$489,0)),"")</f>
        <v/>
      </c>
      <c r="C346">
        <f>IFERROR(INDEX('2011'!$N$2:$N$490,MATCH($A346,'2011'!$A$2:$A$490,0)),"")</f>
        <v/>
      </c>
      <c r="D346" s="3">
        <f>IFERROR(INDEX('2001'!$Y$2:$Y$489,MATCH($A346,'2001'!$A$2:$A$489,0)),"")</f>
        <v/>
      </c>
      <c r="E346" s="3">
        <f>IFERROR(INDEX('2011'!$X$2:$X$490,MATCH($A346,'2011'!$A$2:$A$490,0)),"")</f>
        <v/>
      </c>
      <c r="F346" s="4">
        <f>IF(OR($D346="",$E346=""),"",$E346-$D346)</f>
        <v/>
      </c>
      <c r="G346">
        <f>IF(OR($B346="",$C346=""),"",$C346-$B346)</f>
        <v/>
      </c>
    </row>
    <row r="347">
      <c r="A347" s="2" t="n">
        <v>346</v>
      </c>
      <c r="B347">
        <f>IFERROR(INDEX('2001'!$O$2:$O$489,MATCH($A347,'2001'!$A$2:$A$489,0)),"")</f>
        <v/>
      </c>
      <c r="C347">
        <f>IFERROR(INDEX('2011'!$N$2:$N$490,MATCH($A347,'2011'!$A$2:$A$490,0)),"")</f>
        <v/>
      </c>
      <c r="D347" s="3">
        <f>IFERROR(INDEX('2001'!$Y$2:$Y$489,MATCH($A347,'2001'!$A$2:$A$489,0)),"")</f>
        <v/>
      </c>
      <c r="E347" s="3">
        <f>IFERROR(INDEX('2011'!$X$2:$X$490,MATCH($A347,'2011'!$A$2:$A$490,0)),"")</f>
        <v/>
      </c>
      <c r="F347" s="4">
        <f>IF(OR($D347="",$E347=""),"",$E347-$D347)</f>
        <v/>
      </c>
      <c r="G347">
        <f>IF(OR($B347="",$C347=""),"",$C347-$B347)</f>
        <v/>
      </c>
    </row>
    <row r="348">
      <c r="A348" s="2" t="n">
        <v>347</v>
      </c>
      <c r="B348">
        <f>IFERROR(INDEX('2001'!$O$2:$O$489,MATCH($A348,'2001'!$A$2:$A$489,0)),"")</f>
        <v/>
      </c>
      <c r="C348">
        <f>IFERROR(INDEX('2011'!$N$2:$N$490,MATCH($A348,'2011'!$A$2:$A$490,0)),"")</f>
        <v/>
      </c>
      <c r="D348" s="3">
        <f>IFERROR(INDEX('2001'!$Y$2:$Y$489,MATCH($A348,'2001'!$A$2:$A$489,0)),"")</f>
        <v/>
      </c>
      <c r="E348" s="3">
        <f>IFERROR(INDEX('2011'!$X$2:$X$490,MATCH($A348,'2011'!$A$2:$A$490,0)),"")</f>
        <v/>
      </c>
      <c r="F348" s="4">
        <f>IF(OR($D348="",$E348=""),"",$E348-$D348)</f>
        <v/>
      </c>
      <c r="G348">
        <f>IF(OR($B348="",$C348=""),"",$C348-$B348)</f>
        <v/>
      </c>
    </row>
    <row r="349">
      <c r="A349" s="2" t="n">
        <v>348</v>
      </c>
      <c r="B349">
        <f>IFERROR(INDEX('2001'!$O$2:$O$489,MATCH($A349,'2001'!$A$2:$A$489,0)),"")</f>
        <v/>
      </c>
      <c r="C349">
        <f>IFERROR(INDEX('2011'!$N$2:$N$490,MATCH($A349,'2011'!$A$2:$A$490,0)),"")</f>
        <v/>
      </c>
      <c r="D349" s="3">
        <f>IFERROR(INDEX('2001'!$Y$2:$Y$489,MATCH($A349,'2001'!$A$2:$A$489,0)),"")</f>
        <v/>
      </c>
      <c r="E349" s="3">
        <f>IFERROR(INDEX('2011'!$X$2:$X$490,MATCH($A349,'2011'!$A$2:$A$490,0)),"")</f>
        <v/>
      </c>
      <c r="F349" s="4">
        <f>IF(OR($D349="",$E349=""),"",$E349-$D349)</f>
        <v/>
      </c>
      <c r="G349">
        <f>IF(OR($B349="",$C349=""),"",$C349-$B349)</f>
        <v/>
      </c>
    </row>
    <row r="350">
      <c r="A350" s="2" t="n">
        <v>349</v>
      </c>
      <c r="B350">
        <f>IFERROR(INDEX('2001'!$O$2:$O$489,MATCH($A350,'2001'!$A$2:$A$489,0)),"")</f>
        <v/>
      </c>
      <c r="C350">
        <f>IFERROR(INDEX('2011'!$N$2:$N$490,MATCH($A350,'2011'!$A$2:$A$490,0)),"")</f>
        <v/>
      </c>
      <c r="D350" s="3">
        <f>IFERROR(INDEX('2001'!$Y$2:$Y$489,MATCH($A350,'2001'!$A$2:$A$489,0)),"")</f>
        <v/>
      </c>
      <c r="E350" s="3">
        <f>IFERROR(INDEX('2011'!$X$2:$X$490,MATCH($A350,'2011'!$A$2:$A$490,0)),"")</f>
        <v/>
      </c>
      <c r="F350" s="4">
        <f>IF(OR($D350="",$E350=""),"",$E350-$D350)</f>
        <v/>
      </c>
      <c r="G350">
        <f>IF(OR($B350="",$C350=""),"",$C350-$B350)</f>
        <v/>
      </c>
    </row>
    <row r="351">
      <c r="A351" s="2" t="n">
        <v>350</v>
      </c>
      <c r="B351">
        <f>IFERROR(INDEX('2001'!$O$2:$O$489,MATCH($A351,'2001'!$A$2:$A$489,0)),"")</f>
        <v/>
      </c>
      <c r="C351">
        <f>IFERROR(INDEX('2011'!$N$2:$N$490,MATCH($A351,'2011'!$A$2:$A$490,0)),"")</f>
        <v/>
      </c>
      <c r="D351" s="3">
        <f>IFERROR(INDEX('2001'!$Y$2:$Y$489,MATCH($A351,'2001'!$A$2:$A$489,0)),"")</f>
        <v/>
      </c>
      <c r="E351" s="3">
        <f>IFERROR(INDEX('2011'!$X$2:$X$490,MATCH($A351,'2011'!$A$2:$A$490,0)),"")</f>
        <v/>
      </c>
      <c r="F351" s="4">
        <f>IF(OR($D351="",$E351=""),"",$E351-$D351)</f>
        <v/>
      </c>
      <c r="G351">
        <f>IF(OR($B351="",$C351=""),"",$C351-$B351)</f>
        <v/>
      </c>
    </row>
    <row r="352">
      <c r="A352" s="2" t="n">
        <v>351</v>
      </c>
      <c r="B352">
        <f>IFERROR(INDEX('2001'!$O$2:$O$489,MATCH($A352,'2001'!$A$2:$A$489,0)),"")</f>
        <v/>
      </c>
      <c r="C352">
        <f>IFERROR(INDEX('2011'!$N$2:$N$490,MATCH($A352,'2011'!$A$2:$A$490,0)),"")</f>
        <v/>
      </c>
      <c r="D352" s="3">
        <f>IFERROR(INDEX('2001'!$Y$2:$Y$489,MATCH($A352,'2001'!$A$2:$A$489,0)),"")</f>
        <v/>
      </c>
      <c r="E352" s="3">
        <f>IFERROR(INDEX('2011'!$X$2:$X$490,MATCH($A352,'2011'!$A$2:$A$490,0)),"")</f>
        <v/>
      </c>
      <c r="F352" s="4">
        <f>IF(OR($D352="",$E352=""),"",$E352-$D352)</f>
        <v/>
      </c>
      <c r="G352">
        <f>IF(OR($B352="",$C352=""),"",$C352-$B352)</f>
        <v/>
      </c>
    </row>
    <row r="353">
      <c r="A353" s="2" t="n">
        <v>352</v>
      </c>
      <c r="B353">
        <f>IFERROR(INDEX('2001'!$O$2:$O$489,MATCH($A353,'2001'!$A$2:$A$489,0)),"")</f>
        <v/>
      </c>
      <c r="C353">
        <f>IFERROR(INDEX('2011'!$N$2:$N$490,MATCH($A353,'2011'!$A$2:$A$490,0)),"")</f>
        <v/>
      </c>
      <c r="D353" s="3">
        <f>IFERROR(INDEX('2001'!$Y$2:$Y$489,MATCH($A353,'2001'!$A$2:$A$489,0)),"")</f>
        <v/>
      </c>
      <c r="E353" s="3">
        <f>IFERROR(INDEX('2011'!$X$2:$X$490,MATCH($A353,'2011'!$A$2:$A$490,0)),"")</f>
        <v/>
      </c>
      <c r="F353" s="4">
        <f>IF(OR($D353="",$E353=""),"",$E353-$D353)</f>
        <v/>
      </c>
      <c r="G353">
        <f>IF(OR($B353="",$C353=""),"",$C353-$B353)</f>
        <v/>
      </c>
    </row>
    <row r="354">
      <c r="A354" s="2" t="n">
        <v>353</v>
      </c>
      <c r="B354">
        <f>IFERROR(INDEX('2001'!$O$2:$O$489,MATCH($A354,'2001'!$A$2:$A$489,0)),"")</f>
        <v/>
      </c>
      <c r="C354">
        <f>IFERROR(INDEX('2011'!$N$2:$N$490,MATCH($A354,'2011'!$A$2:$A$490,0)),"")</f>
        <v/>
      </c>
      <c r="D354" s="3">
        <f>IFERROR(INDEX('2001'!$Y$2:$Y$489,MATCH($A354,'2001'!$A$2:$A$489,0)),"")</f>
        <v/>
      </c>
      <c r="E354" s="3">
        <f>IFERROR(INDEX('2011'!$X$2:$X$490,MATCH($A354,'2011'!$A$2:$A$490,0)),"")</f>
        <v/>
      </c>
      <c r="F354" s="4">
        <f>IF(OR($D354="",$E354=""),"",$E354-$D354)</f>
        <v/>
      </c>
      <c r="G354">
        <f>IF(OR($B354="",$C354=""),"",$C354-$B354)</f>
        <v/>
      </c>
    </row>
    <row r="355">
      <c r="A355" s="2" t="n">
        <v>354</v>
      </c>
      <c r="B355">
        <f>IFERROR(INDEX('2001'!$O$2:$O$489,MATCH($A355,'2001'!$A$2:$A$489,0)),"")</f>
        <v/>
      </c>
      <c r="C355">
        <f>IFERROR(INDEX('2011'!$N$2:$N$490,MATCH($A355,'2011'!$A$2:$A$490,0)),"")</f>
        <v/>
      </c>
      <c r="D355" s="3">
        <f>IFERROR(INDEX('2001'!$Y$2:$Y$489,MATCH($A355,'2001'!$A$2:$A$489,0)),"")</f>
        <v/>
      </c>
      <c r="E355" s="3">
        <f>IFERROR(INDEX('2011'!$X$2:$X$490,MATCH($A355,'2011'!$A$2:$A$490,0)),"")</f>
        <v/>
      </c>
      <c r="F355" s="4">
        <f>IF(OR($D355="",$E355=""),"",$E355-$D355)</f>
        <v/>
      </c>
      <c r="G355">
        <f>IF(OR($B355="",$C355=""),"",$C355-$B355)</f>
        <v/>
      </c>
    </row>
    <row r="356">
      <c r="A356" s="2" t="n">
        <v>355</v>
      </c>
      <c r="B356">
        <f>IFERROR(INDEX('2001'!$O$2:$O$489,MATCH($A356,'2001'!$A$2:$A$489,0)),"")</f>
        <v/>
      </c>
      <c r="C356">
        <f>IFERROR(INDEX('2011'!$N$2:$N$490,MATCH($A356,'2011'!$A$2:$A$490,0)),"")</f>
        <v/>
      </c>
      <c r="D356" s="3">
        <f>IFERROR(INDEX('2001'!$Y$2:$Y$489,MATCH($A356,'2001'!$A$2:$A$489,0)),"")</f>
        <v/>
      </c>
      <c r="E356" s="3">
        <f>IFERROR(INDEX('2011'!$X$2:$X$490,MATCH($A356,'2011'!$A$2:$A$490,0)),"")</f>
        <v/>
      </c>
      <c r="F356" s="4">
        <f>IF(OR($D356="",$E356=""),"",$E356-$D356)</f>
        <v/>
      </c>
      <c r="G356">
        <f>IF(OR($B356="",$C356=""),"",$C356-$B356)</f>
        <v/>
      </c>
    </row>
    <row r="357">
      <c r="A357" s="2" t="n">
        <v>356</v>
      </c>
      <c r="B357">
        <f>IFERROR(INDEX('2001'!$O$2:$O$489,MATCH($A357,'2001'!$A$2:$A$489,0)),"")</f>
        <v/>
      </c>
      <c r="C357">
        <f>IFERROR(INDEX('2011'!$N$2:$N$490,MATCH($A357,'2011'!$A$2:$A$490,0)),"")</f>
        <v/>
      </c>
      <c r="D357" s="3">
        <f>IFERROR(INDEX('2001'!$Y$2:$Y$489,MATCH($A357,'2001'!$A$2:$A$489,0)),"")</f>
        <v/>
      </c>
      <c r="E357" s="3">
        <f>IFERROR(INDEX('2011'!$X$2:$X$490,MATCH($A357,'2011'!$A$2:$A$490,0)),"")</f>
        <v/>
      </c>
      <c r="F357" s="4">
        <f>IF(OR($D357="",$E357=""),"",$E357-$D357)</f>
        <v/>
      </c>
      <c r="G357">
        <f>IF(OR($B357="",$C357=""),"",$C357-$B357)</f>
        <v/>
      </c>
    </row>
    <row r="358">
      <c r="A358" s="2" t="n">
        <v>357</v>
      </c>
      <c r="B358">
        <f>IFERROR(INDEX('2001'!$O$2:$O$489,MATCH($A358,'2001'!$A$2:$A$489,0)),"")</f>
        <v/>
      </c>
      <c r="C358">
        <f>IFERROR(INDEX('2011'!$N$2:$N$490,MATCH($A358,'2011'!$A$2:$A$490,0)),"")</f>
        <v/>
      </c>
      <c r="D358" s="3">
        <f>IFERROR(INDEX('2001'!$Y$2:$Y$489,MATCH($A358,'2001'!$A$2:$A$489,0)),"")</f>
        <v/>
      </c>
      <c r="E358" s="3">
        <f>IFERROR(INDEX('2011'!$X$2:$X$490,MATCH($A358,'2011'!$A$2:$A$490,0)),"")</f>
        <v/>
      </c>
      <c r="F358" s="4">
        <f>IF(OR($D358="",$E358=""),"",$E358-$D358)</f>
        <v/>
      </c>
      <c r="G358">
        <f>IF(OR($B358="",$C358=""),"",$C358-$B358)</f>
        <v/>
      </c>
    </row>
    <row r="359">
      <c r="A359" s="2" t="n">
        <v>358</v>
      </c>
      <c r="B359">
        <f>IFERROR(INDEX('2001'!$O$2:$O$489,MATCH($A359,'2001'!$A$2:$A$489,0)),"")</f>
        <v/>
      </c>
      <c r="C359">
        <f>IFERROR(INDEX('2011'!$N$2:$N$490,MATCH($A359,'2011'!$A$2:$A$490,0)),"")</f>
        <v/>
      </c>
      <c r="D359" s="3">
        <f>IFERROR(INDEX('2001'!$Y$2:$Y$489,MATCH($A359,'2001'!$A$2:$A$489,0)),"")</f>
        <v/>
      </c>
      <c r="E359" s="3">
        <f>IFERROR(INDEX('2011'!$X$2:$X$490,MATCH($A359,'2011'!$A$2:$A$490,0)),"")</f>
        <v/>
      </c>
      <c r="F359" s="4">
        <f>IF(OR($D359="",$E359=""),"",$E359-$D359)</f>
        <v/>
      </c>
      <c r="G359">
        <f>IF(OR($B359="",$C359=""),"",$C359-$B359)</f>
        <v/>
      </c>
    </row>
    <row r="360">
      <c r="A360" s="2" t="n">
        <v>359</v>
      </c>
      <c r="B360">
        <f>IFERROR(INDEX('2001'!$O$2:$O$489,MATCH($A360,'2001'!$A$2:$A$489,0)),"")</f>
        <v/>
      </c>
      <c r="C360">
        <f>IFERROR(INDEX('2011'!$N$2:$N$490,MATCH($A360,'2011'!$A$2:$A$490,0)),"")</f>
        <v/>
      </c>
      <c r="D360" s="3">
        <f>IFERROR(INDEX('2001'!$Y$2:$Y$489,MATCH($A360,'2001'!$A$2:$A$489,0)),"")</f>
        <v/>
      </c>
      <c r="E360" s="3">
        <f>IFERROR(INDEX('2011'!$X$2:$X$490,MATCH($A360,'2011'!$A$2:$A$490,0)),"")</f>
        <v/>
      </c>
      <c r="F360" s="4">
        <f>IF(OR($D360="",$E360=""),"",$E360-$D360)</f>
        <v/>
      </c>
      <c r="G360">
        <f>IF(OR($B360="",$C360=""),"",$C360-$B360)</f>
        <v/>
      </c>
    </row>
    <row r="361">
      <c r="A361" s="2" t="n">
        <v>360</v>
      </c>
      <c r="B361">
        <f>IFERROR(INDEX('2001'!$O$2:$O$489,MATCH($A361,'2001'!$A$2:$A$489,0)),"")</f>
        <v/>
      </c>
      <c r="C361">
        <f>IFERROR(INDEX('2011'!$N$2:$N$490,MATCH($A361,'2011'!$A$2:$A$490,0)),"")</f>
        <v/>
      </c>
      <c r="D361" s="3">
        <f>IFERROR(INDEX('2001'!$Y$2:$Y$489,MATCH($A361,'2001'!$A$2:$A$489,0)),"")</f>
        <v/>
      </c>
      <c r="E361" s="3">
        <f>IFERROR(INDEX('2011'!$X$2:$X$490,MATCH($A361,'2011'!$A$2:$A$490,0)),"")</f>
        <v/>
      </c>
      <c r="F361" s="4">
        <f>IF(OR($D361="",$E361=""),"",$E361-$D361)</f>
        <v/>
      </c>
      <c r="G361">
        <f>IF(OR($B361="",$C361=""),"",$C361-$B361)</f>
        <v/>
      </c>
    </row>
    <row r="362">
      <c r="A362" s="2" t="n">
        <v>361</v>
      </c>
      <c r="B362">
        <f>IFERROR(INDEX('2001'!$O$2:$O$489,MATCH($A362,'2001'!$A$2:$A$489,0)),"")</f>
        <v/>
      </c>
      <c r="C362">
        <f>IFERROR(INDEX('2011'!$N$2:$N$490,MATCH($A362,'2011'!$A$2:$A$490,0)),"")</f>
        <v/>
      </c>
      <c r="D362" s="3">
        <f>IFERROR(INDEX('2001'!$Y$2:$Y$489,MATCH($A362,'2001'!$A$2:$A$489,0)),"")</f>
        <v/>
      </c>
      <c r="E362" s="3">
        <f>IFERROR(INDEX('2011'!$X$2:$X$490,MATCH($A362,'2011'!$A$2:$A$490,0)),"")</f>
        <v/>
      </c>
      <c r="F362" s="4">
        <f>IF(OR($D362="",$E362=""),"",$E362-$D362)</f>
        <v/>
      </c>
      <c r="G362">
        <f>IF(OR($B362="",$C362=""),"",$C362-$B362)</f>
        <v/>
      </c>
    </row>
    <row r="363">
      <c r="A363" s="2" t="n">
        <v>362</v>
      </c>
      <c r="B363">
        <f>IFERROR(INDEX('2001'!$O$2:$O$489,MATCH($A363,'2001'!$A$2:$A$489,0)),"")</f>
        <v/>
      </c>
      <c r="C363">
        <f>IFERROR(INDEX('2011'!$N$2:$N$490,MATCH($A363,'2011'!$A$2:$A$490,0)),"")</f>
        <v/>
      </c>
      <c r="D363" s="3">
        <f>IFERROR(INDEX('2001'!$Y$2:$Y$489,MATCH($A363,'2001'!$A$2:$A$489,0)),"")</f>
        <v/>
      </c>
      <c r="E363" s="3">
        <f>IFERROR(INDEX('2011'!$X$2:$X$490,MATCH($A363,'2011'!$A$2:$A$490,0)),"")</f>
        <v/>
      </c>
      <c r="F363" s="4">
        <f>IF(OR($D363="",$E363=""),"",$E363-$D363)</f>
        <v/>
      </c>
      <c r="G363">
        <f>IF(OR($B363="",$C363=""),"",$C363-$B363)</f>
        <v/>
      </c>
    </row>
    <row r="364">
      <c r="A364" s="2" t="n">
        <v>363</v>
      </c>
      <c r="B364">
        <f>IFERROR(INDEX('2001'!$O$2:$O$489,MATCH($A364,'2001'!$A$2:$A$489,0)),"")</f>
        <v/>
      </c>
      <c r="C364">
        <f>IFERROR(INDEX('2011'!$N$2:$N$490,MATCH($A364,'2011'!$A$2:$A$490,0)),"")</f>
        <v/>
      </c>
      <c r="D364" s="3">
        <f>IFERROR(INDEX('2001'!$Y$2:$Y$489,MATCH($A364,'2001'!$A$2:$A$489,0)),"")</f>
        <v/>
      </c>
      <c r="E364" s="3">
        <f>IFERROR(INDEX('2011'!$X$2:$X$490,MATCH($A364,'2011'!$A$2:$A$490,0)),"")</f>
        <v/>
      </c>
      <c r="F364" s="4">
        <f>IF(OR($D364="",$E364=""),"",$E364-$D364)</f>
        <v/>
      </c>
      <c r="G364">
        <f>IF(OR($B364="",$C364=""),"",$C364-$B364)</f>
        <v/>
      </c>
    </row>
    <row r="365">
      <c r="A365" s="2" t="n">
        <v>364</v>
      </c>
      <c r="B365">
        <f>IFERROR(INDEX('2001'!$O$2:$O$489,MATCH($A365,'2001'!$A$2:$A$489,0)),"")</f>
        <v/>
      </c>
      <c r="C365">
        <f>IFERROR(INDEX('2011'!$N$2:$N$490,MATCH($A365,'2011'!$A$2:$A$490,0)),"")</f>
        <v/>
      </c>
      <c r="D365" s="3">
        <f>IFERROR(INDEX('2001'!$Y$2:$Y$489,MATCH($A365,'2001'!$A$2:$A$489,0)),"")</f>
        <v/>
      </c>
      <c r="E365" s="3">
        <f>IFERROR(INDEX('2011'!$X$2:$X$490,MATCH($A365,'2011'!$A$2:$A$490,0)),"")</f>
        <v/>
      </c>
      <c r="F365" s="4">
        <f>IF(OR($D365="",$E365=""),"",$E365-$D365)</f>
        <v/>
      </c>
      <c r="G365">
        <f>IF(OR($B365="",$C365=""),"",$C365-$B365)</f>
        <v/>
      </c>
    </row>
    <row r="366">
      <c r="A366" s="2" t="n">
        <v>365</v>
      </c>
      <c r="B366">
        <f>IFERROR(INDEX('2001'!$O$2:$O$489,MATCH($A366,'2001'!$A$2:$A$489,0)),"")</f>
        <v/>
      </c>
      <c r="C366">
        <f>IFERROR(INDEX('2011'!$N$2:$N$490,MATCH($A366,'2011'!$A$2:$A$490,0)),"")</f>
        <v/>
      </c>
      <c r="D366" s="3">
        <f>IFERROR(INDEX('2001'!$Y$2:$Y$489,MATCH($A366,'2001'!$A$2:$A$489,0)),"")</f>
        <v/>
      </c>
      <c r="E366" s="3">
        <f>IFERROR(INDEX('2011'!$X$2:$X$490,MATCH($A366,'2011'!$A$2:$A$490,0)),"")</f>
        <v/>
      </c>
      <c r="F366" s="4">
        <f>IF(OR($D366="",$E366=""),"",$E366-$D366)</f>
        <v/>
      </c>
      <c r="G366">
        <f>IF(OR($B366="",$C366=""),"",$C366-$B366)</f>
        <v/>
      </c>
    </row>
    <row r="367">
      <c r="A367" s="2" t="n">
        <v>366</v>
      </c>
      <c r="B367">
        <f>IFERROR(INDEX('2001'!$O$2:$O$489,MATCH($A367,'2001'!$A$2:$A$489,0)),"")</f>
        <v/>
      </c>
      <c r="C367">
        <f>IFERROR(INDEX('2011'!$N$2:$N$490,MATCH($A367,'2011'!$A$2:$A$490,0)),"")</f>
        <v/>
      </c>
      <c r="D367" s="3">
        <f>IFERROR(INDEX('2001'!$Y$2:$Y$489,MATCH($A367,'2001'!$A$2:$A$489,0)),"")</f>
        <v/>
      </c>
      <c r="E367" s="3">
        <f>IFERROR(INDEX('2011'!$X$2:$X$490,MATCH($A367,'2011'!$A$2:$A$490,0)),"")</f>
        <v/>
      </c>
      <c r="F367" s="4">
        <f>IF(OR($D367="",$E367=""),"",$E367-$D367)</f>
        <v/>
      </c>
      <c r="G367">
        <f>IF(OR($B367="",$C367=""),"",$C367-$B367)</f>
        <v/>
      </c>
    </row>
    <row r="368">
      <c r="A368" s="2" t="n">
        <v>367</v>
      </c>
      <c r="B368">
        <f>IFERROR(INDEX('2001'!$O$2:$O$489,MATCH($A368,'2001'!$A$2:$A$489,0)),"")</f>
        <v/>
      </c>
      <c r="C368">
        <f>IFERROR(INDEX('2011'!$N$2:$N$490,MATCH($A368,'2011'!$A$2:$A$490,0)),"")</f>
        <v/>
      </c>
      <c r="D368" s="3">
        <f>IFERROR(INDEX('2001'!$Y$2:$Y$489,MATCH($A368,'2001'!$A$2:$A$489,0)),"")</f>
        <v/>
      </c>
      <c r="E368" s="3">
        <f>IFERROR(INDEX('2011'!$X$2:$X$490,MATCH($A368,'2011'!$A$2:$A$490,0)),"")</f>
        <v/>
      </c>
      <c r="F368" s="4">
        <f>IF(OR($D368="",$E368=""),"",$E368-$D368)</f>
        <v/>
      </c>
      <c r="G368">
        <f>IF(OR($B368="",$C368=""),"",$C368-$B368)</f>
        <v/>
      </c>
    </row>
    <row r="369">
      <c r="A369" s="2" t="n">
        <v>368</v>
      </c>
      <c r="B369">
        <f>IFERROR(INDEX('2001'!$O$2:$O$489,MATCH($A369,'2001'!$A$2:$A$489,0)),"")</f>
        <v/>
      </c>
      <c r="C369">
        <f>IFERROR(INDEX('2011'!$N$2:$N$490,MATCH($A369,'2011'!$A$2:$A$490,0)),"")</f>
        <v/>
      </c>
      <c r="D369" s="3">
        <f>IFERROR(INDEX('2001'!$Y$2:$Y$489,MATCH($A369,'2001'!$A$2:$A$489,0)),"")</f>
        <v/>
      </c>
      <c r="E369" s="3">
        <f>IFERROR(INDEX('2011'!$X$2:$X$490,MATCH($A369,'2011'!$A$2:$A$490,0)),"")</f>
        <v/>
      </c>
      <c r="F369" s="4">
        <f>IF(OR($D369="",$E369=""),"",$E369-$D369)</f>
        <v/>
      </c>
      <c r="G369">
        <f>IF(OR($B369="",$C369=""),"",$C369-$B369)</f>
        <v/>
      </c>
    </row>
    <row r="370">
      <c r="A370" s="2" t="n">
        <v>369</v>
      </c>
      <c r="B370">
        <f>IFERROR(INDEX('2001'!$O$2:$O$489,MATCH($A370,'2001'!$A$2:$A$489,0)),"")</f>
        <v/>
      </c>
      <c r="C370">
        <f>IFERROR(INDEX('2011'!$N$2:$N$490,MATCH($A370,'2011'!$A$2:$A$490,0)),"")</f>
        <v/>
      </c>
      <c r="D370" s="3">
        <f>IFERROR(INDEX('2001'!$Y$2:$Y$489,MATCH($A370,'2001'!$A$2:$A$489,0)),"")</f>
        <v/>
      </c>
      <c r="E370" s="3">
        <f>IFERROR(INDEX('2011'!$X$2:$X$490,MATCH($A370,'2011'!$A$2:$A$490,0)),"")</f>
        <v/>
      </c>
      <c r="F370" s="4">
        <f>IF(OR($D370="",$E370=""),"",$E370-$D370)</f>
        <v/>
      </c>
      <c r="G370">
        <f>IF(OR($B370="",$C370=""),"",$C370-$B370)</f>
        <v/>
      </c>
    </row>
    <row r="371">
      <c r="A371" s="2" t="n">
        <v>370</v>
      </c>
      <c r="B371">
        <f>IFERROR(INDEX('2001'!$O$2:$O$489,MATCH($A371,'2001'!$A$2:$A$489,0)),"")</f>
        <v/>
      </c>
      <c r="C371">
        <f>IFERROR(INDEX('2011'!$N$2:$N$490,MATCH($A371,'2011'!$A$2:$A$490,0)),"")</f>
        <v/>
      </c>
      <c r="D371" s="3">
        <f>IFERROR(INDEX('2001'!$Y$2:$Y$489,MATCH($A371,'2001'!$A$2:$A$489,0)),"")</f>
        <v/>
      </c>
      <c r="E371" s="3">
        <f>IFERROR(INDEX('2011'!$X$2:$X$490,MATCH($A371,'2011'!$A$2:$A$490,0)),"")</f>
        <v/>
      </c>
      <c r="F371" s="4">
        <f>IF(OR($D371="",$E371=""),"",$E371-$D371)</f>
        <v/>
      </c>
      <c r="G371">
        <f>IF(OR($B371="",$C371=""),"",$C371-$B371)</f>
        <v/>
      </c>
    </row>
    <row r="372">
      <c r="A372" s="2" t="n">
        <v>371</v>
      </c>
      <c r="B372">
        <f>IFERROR(INDEX('2001'!$O$2:$O$489,MATCH($A372,'2001'!$A$2:$A$489,0)),"")</f>
        <v/>
      </c>
      <c r="C372">
        <f>IFERROR(INDEX('2011'!$N$2:$N$490,MATCH($A372,'2011'!$A$2:$A$490,0)),"")</f>
        <v/>
      </c>
      <c r="D372" s="3">
        <f>IFERROR(INDEX('2001'!$Y$2:$Y$489,MATCH($A372,'2001'!$A$2:$A$489,0)),"")</f>
        <v/>
      </c>
      <c r="E372" s="3">
        <f>IFERROR(INDEX('2011'!$X$2:$X$490,MATCH($A372,'2011'!$A$2:$A$490,0)),"")</f>
        <v/>
      </c>
      <c r="F372" s="4">
        <f>IF(OR($D372="",$E372=""),"",$E372-$D372)</f>
        <v/>
      </c>
      <c r="G372">
        <f>IF(OR($B372="",$C372=""),"",$C372-$B372)</f>
        <v/>
      </c>
    </row>
    <row r="373">
      <c r="A373" s="2" t="n">
        <v>372</v>
      </c>
      <c r="B373">
        <f>IFERROR(INDEX('2001'!$O$2:$O$489,MATCH($A373,'2001'!$A$2:$A$489,0)),"")</f>
        <v/>
      </c>
      <c r="C373">
        <f>IFERROR(INDEX('2011'!$N$2:$N$490,MATCH($A373,'2011'!$A$2:$A$490,0)),"")</f>
        <v/>
      </c>
      <c r="D373" s="3">
        <f>IFERROR(INDEX('2001'!$Y$2:$Y$489,MATCH($A373,'2001'!$A$2:$A$489,0)),"")</f>
        <v/>
      </c>
      <c r="E373" s="3">
        <f>IFERROR(INDEX('2011'!$X$2:$X$490,MATCH($A373,'2011'!$A$2:$A$490,0)),"")</f>
        <v/>
      </c>
      <c r="F373" s="4">
        <f>IF(OR($D373="",$E373=""),"",$E373-$D373)</f>
        <v/>
      </c>
      <c r="G373">
        <f>IF(OR($B373="",$C373=""),"",$C373-$B373)</f>
        <v/>
      </c>
    </row>
    <row r="374">
      <c r="A374" s="2" t="n">
        <v>373</v>
      </c>
      <c r="B374">
        <f>IFERROR(INDEX('2001'!$O$2:$O$489,MATCH($A374,'2001'!$A$2:$A$489,0)),"")</f>
        <v/>
      </c>
      <c r="C374">
        <f>IFERROR(INDEX('2011'!$N$2:$N$490,MATCH($A374,'2011'!$A$2:$A$490,0)),"")</f>
        <v/>
      </c>
      <c r="D374" s="3">
        <f>IFERROR(INDEX('2001'!$Y$2:$Y$489,MATCH($A374,'2001'!$A$2:$A$489,0)),"")</f>
        <v/>
      </c>
      <c r="E374" s="3">
        <f>IFERROR(INDEX('2011'!$X$2:$X$490,MATCH($A374,'2011'!$A$2:$A$490,0)),"")</f>
        <v/>
      </c>
      <c r="F374" s="4">
        <f>IF(OR($D374="",$E374=""),"",$E374-$D374)</f>
        <v/>
      </c>
      <c r="G374">
        <f>IF(OR($B374="",$C374=""),"",$C374-$B374)</f>
        <v/>
      </c>
    </row>
    <row r="375">
      <c r="A375" s="2" t="n">
        <v>374</v>
      </c>
      <c r="B375">
        <f>IFERROR(INDEX('2001'!$O$2:$O$489,MATCH($A375,'2001'!$A$2:$A$489,0)),"")</f>
        <v/>
      </c>
      <c r="C375">
        <f>IFERROR(INDEX('2011'!$N$2:$N$490,MATCH($A375,'2011'!$A$2:$A$490,0)),"")</f>
        <v/>
      </c>
      <c r="D375" s="3">
        <f>IFERROR(INDEX('2001'!$Y$2:$Y$489,MATCH($A375,'2001'!$A$2:$A$489,0)),"")</f>
        <v/>
      </c>
      <c r="E375" s="3">
        <f>IFERROR(INDEX('2011'!$X$2:$X$490,MATCH($A375,'2011'!$A$2:$A$490,0)),"")</f>
        <v/>
      </c>
      <c r="F375" s="4">
        <f>IF(OR($D375="",$E375=""),"",$E375-$D375)</f>
        <v/>
      </c>
      <c r="G375">
        <f>IF(OR($B375="",$C375=""),"",$C375-$B375)</f>
        <v/>
      </c>
    </row>
    <row r="376">
      <c r="A376" s="2" t="n">
        <v>375</v>
      </c>
      <c r="B376">
        <f>IFERROR(INDEX('2001'!$O$2:$O$489,MATCH($A376,'2001'!$A$2:$A$489,0)),"")</f>
        <v/>
      </c>
      <c r="C376">
        <f>IFERROR(INDEX('2011'!$N$2:$N$490,MATCH($A376,'2011'!$A$2:$A$490,0)),"")</f>
        <v/>
      </c>
      <c r="D376" s="3">
        <f>IFERROR(INDEX('2001'!$Y$2:$Y$489,MATCH($A376,'2001'!$A$2:$A$489,0)),"")</f>
        <v/>
      </c>
      <c r="E376" s="3">
        <f>IFERROR(INDEX('2011'!$X$2:$X$490,MATCH($A376,'2011'!$A$2:$A$490,0)),"")</f>
        <v/>
      </c>
      <c r="F376" s="4">
        <f>IF(OR($D376="",$E376=""),"",$E376-$D376)</f>
        <v/>
      </c>
      <c r="G376">
        <f>IF(OR($B376="",$C376=""),"",$C376-$B376)</f>
        <v/>
      </c>
    </row>
    <row r="377">
      <c r="A377" s="2" t="n">
        <v>376</v>
      </c>
      <c r="B377">
        <f>IFERROR(INDEX('2001'!$O$2:$O$489,MATCH($A377,'2001'!$A$2:$A$489,0)),"")</f>
        <v/>
      </c>
      <c r="C377">
        <f>IFERROR(INDEX('2011'!$N$2:$N$490,MATCH($A377,'2011'!$A$2:$A$490,0)),"")</f>
        <v/>
      </c>
      <c r="D377" s="3">
        <f>IFERROR(INDEX('2001'!$Y$2:$Y$489,MATCH($A377,'2001'!$A$2:$A$489,0)),"")</f>
        <v/>
      </c>
      <c r="E377" s="3">
        <f>IFERROR(INDEX('2011'!$X$2:$X$490,MATCH($A377,'2011'!$A$2:$A$490,0)),"")</f>
        <v/>
      </c>
      <c r="F377" s="4">
        <f>IF(OR($D377="",$E377=""),"",$E377-$D377)</f>
        <v/>
      </c>
      <c r="G377">
        <f>IF(OR($B377="",$C377=""),"",$C377-$B377)</f>
        <v/>
      </c>
    </row>
    <row r="378">
      <c r="A378" s="2" t="n">
        <v>377</v>
      </c>
      <c r="B378">
        <f>IFERROR(INDEX('2001'!$O$2:$O$489,MATCH($A378,'2001'!$A$2:$A$489,0)),"")</f>
        <v/>
      </c>
      <c r="C378">
        <f>IFERROR(INDEX('2011'!$N$2:$N$490,MATCH($A378,'2011'!$A$2:$A$490,0)),"")</f>
        <v/>
      </c>
      <c r="D378" s="3">
        <f>IFERROR(INDEX('2001'!$Y$2:$Y$489,MATCH($A378,'2001'!$A$2:$A$489,0)),"")</f>
        <v/>
      </c>
      <c r="E378" s="3">
        <f>IFERROR(INDEX('2011'!$X$2:$X$490,MATCH($A378,'2011'!$A$2:$A$490,0)),"")</f>
        <v/>
      </c>
      <c r="F378" s="4">
        <f>IF(OR($D378="",$E378=""),"",$E378-$D378)</f>
        <v/>
      </c>
      <c r="G378">
        <f>IF(OR($B378="",$C378=""),"",$C378-$B378)</f>
        <v/>
      </c>
    </row>
    <row r="379">
      <c r="A379" s="2" t="n">
        <v>378</v>
      </c>
      <c r="B379">
        <f>IFERROR(INDEX('2001'!$O$2:$O$489,MATCH($A379,'2001'!$A$2:$A$489,0)),"")</f>
        <v/>
      </c>
      <c r="C379">
        <f>IFERROR(INDEX('2011'!$N$2:$N$490,MATCH($A379,'2011'!$A$2:$A$490,0)),"")</f>
        <v/>
      </c>
      <c r="D379" s="3">
        <f>IFERROR(INDEX('2001'!$Y$2:$Y$489,MATCH($A379,'2001'!$A$2:$A$489,0)),"")</f>
        <v/>
      </c>
      <c r="E379" s="3">
        <f>IFERROR(INDEX('2011'!$X$2:$X$490,MATCH($A379,'2011'!$A$2:$A$490,0)),"")</f>
        <v/>
      </c>
      <c r="F379" s="4">
        <f>IF(OR($D379="",$E379=""),"",$E379-$D379)</f>
        <v/>
      </c>
      <c r="G379">
        <f>IF(OR($B379="",$C379=""),"",$C379-$B379)</f>
        <v/>
      </c>
    </row>
    <row r="380">
      <c r="A380" s="2" t="n">
        <v>379</v>
      </c>
      <c r="B380">
        <f>IFERROR(INDEX('2001'!$O$2:$O$489,MATCH($A380,'2001'!$A$2:$A$489,0)),"")</f>
        <v/>
      </c>
      <c r="C380">
        <f>IFERROR(INDEX('2011'!$N$2:$N$490,MATCH($A380,'2011'!$A$2:$A$490,0)),"")</f>
        <v/>
      </c>
      <c r="D380" s="3">
        <f>IFERROR(INDEX('2001'!$Y$2:$Y$489,MATCH($A380,'2001'!$A$2:$A$489,0)),"")</f>
        <v/>
      </c>
      <c r="E380" s="3">
        <f>IFERROR(INDEX('2011'!$X$2:$X$490,MATCH($A380,'2011'!$A$2:$A$490,0)),"")</f>
        <v/>
      </c>
      <c r="F380" s="4">
        <f>IF(OR($D380="",$E380=""),"",$E380-$D380)</f>
        <v/>
      </c>
      <c r="G380">
        <f>IF(OR($B380="",$C380=""),"",$C380-$B380)</f>
        <v/>
      </c>
    </row>
    <row r="381">
      <c r="A381" s="2" t="n">
        <v>380</v>
      </c>
      <c r="B381">
        <f>IFERROR(INDEX('2001'!$O$2:$O$489,MATCH($A381,'2001'!$A$2:$A$489,0)),"")</f>
        <v/>
      </c>
      <c r="C381">
        <f>IFERROR(INDEX('2011'!$N$2:$N$490,MATCH($A381,'2011'!$A$2:$A$490,0)),"")</f>
        <v/>
      </c>
      <c r="D381" s="3">
        <f>IFERROR(INDEX('2001'!$Y$2:$Y$489,MATCH($A381,'2001'!$A$2:$A$489,0)),"")</f>
        <v/>
      </c>
      <c r="E381" s="3">
        <f>IFERROR(INDEX('2011'!$X$2:$X$490,MATCH($A381,'2011'!$A$2:$A$490,0)),"")</f>
        <v/>
      </c>
      <c r="F381" s="4">
        <f>IF(OR($D381="",$E381=""),"",$E381-$D381)</f>
        <v/>
      </c>
      <c r="G381">
        <f>IF(OR($B381="",$C381=""),"",$C381-$B381)</f>
        <v/>
      </c>
    </row>
    <row r="382">
      <c r="A382" s="2" t="n">
        <v>381</v>
      </c>
      <c r="B382">
        <f>IFERROR(INDEX('2001'!$O$2:$O$489,MATCH($A382,'2001'!$A$2:$A$489,0)),"")</f>
        <v/>
      </c>
      <c r="C382">
        <f>IFERROR(INDEX('2011'!$N$2:$N$490,MATCH($A382,'2011'!$A$2:$A$490,0)),"")</f>
        <v/>
      </c>
      <c r="D382" s="3">
        <f>IFERROR(INDEX('2001'!$Y$2:$Y$489,MATCH($A382,'2001'!$A$2:$A$489,0)),"")</f>
        <v/>
      </c>
      <c r="E382" s="3">
        <f>IFERROR(INDEX('2011'!$X$2:$X$490,MATCH($A382,'2011'!$A$2:$A$490,0)),"")</f>
        <v/>
      </c>
      <c r="F382" s="4">
        <f>IF(OR($D382="",$E382=""),"",$E382-$D382)</f>
        <v/>
      </c>
      <c r="G382">
        <f>IF(OR($B382="",$C382=""),"",$C382-$B382)</f>
        <v/>
      </c>
    </row>
    <row r="383">
      <c r="A383" s="2" t="n">
        <v>382</v>
      </c>
      <c r="B383">
        <f>IFERROR(INDEX('2001'!$O$2:$O$489,MATCH($A383,'2001'!$A$2:$A$489,0)),"")</f>
        <v/>
      </c>
      <c r="C383">
        <f>IFERROR(INDEX('2011'!$N$2:$N$490,MATCH($A383,'2011'!$A$2:$A$490,0)),"")</f>
        <v/>
      </c>
      <c r="D383" s="3">
        <f>IFERROR(INDEX('2001'!$Y$2:$Y$489,MATCH($A383,'2001'!$A$2:$A$489,0)),"")</f>
        <v/>
      </c>
      <c r="E383" s="3">
        <f>IFERROR(INDEX('2011'!$X$2:$X$490,MATCH($A383,'2011'!$A$2:$A$490,0)),"")</f>
        <v/>
      </c>
      <c r="F383" s="4">
        <f>IF(OR($D383="",$E383=""),"",$E383-$D383)</f>
        <v/>
      </c>
      <c r="G383">
        <f>IF(OR($B383="",$C383=""),"",$C383-$B383)</f>
        <v/>
      </c>
    </row>
    <row r="384">
      <c r="A384" s="2" t="n">
        <v>383</v>
      </c>
      <c r="B384">
        <f>IFERROR(INDEX('2001'!$O$2:$O$489,MATCH($A384,'2001'!$A$2:$A$489,0)),"")</f>
        <v/>
      </c>
      <c r="C384">
        <f>IFERROR(INDEX('2011'!$N$2:$N$490,MATCH($A384,'2011'!$A$2:$A$490,0)),"")</f>
        <v/>
      </c>
      <c r="D384" s="3">
        <f>IFERROR(INDEX('2001'!$Y$2:$Y$489,MATCH($A384,'2001'!$A$2:$A$489,0)),"")</f>
        <v/>
      </c>
      <c r="E384" s="3">
        <f>IFERROR(INDEX('2011'!$X$2:$X$490,MATCH($A384,'2011'!$A$2:$A$490,0)),"")</f>
        <v/>
      </c>
      <c r="F384" s="4">
        <f>IF(OR($D384="",$E384=""),"",$E384-$D384)</f>
        <v/>
      </c>
      <c r="G384">
        <f>IF(OR($B384="",$C384=""),"",$C384-$B384)</f>
        <v/>
      </c>
    </row>
    <row r="385">
      <c r="A385" s="2" t="n">
        <v>384</v>
      </c>
      <c r="B385">
        <f>IFERROR(INDEX('2001'!$O$2:$O$489,MATCH($A385,'2001'!$A$2:$A$489,0)),"")</f>
        <v/>
      </c>
      <c r="C385">
        <f>IFERROR(INDEX('2011'!$N$2:$N$490,MATCH($A385,'2011'!$A$2:$A$490,0)),"")</f>
        <v/>
      </c>
      <c r="D385" s="3">
        <f>IFERROR(INDEX('2001'!$Y$2:$Y$489,MATCH($A385,'2001'!$A$2:$A$489,0)),"")</f>
        <v/>
      </c>
      <c r="E385" s="3">
        <f>IFERROR(INDEX('2011'!$X$2:$X$490,MATCH($A385,'2011'!$A$2:$A$490,0)),"")</f>
        <v/>
      </c>
      <c r="F385" s="4">
        <f>IF(OR($D385="",$E385=""),"",$E385-$D385)</f>
        <v/>
      </c>
      <c r="G385">
        <f>IF(OR($B385="",$C385=""),"",$C385-$B385)</f>
        <v/>
      </c>
    </row>
    <row r="386">
      <c r="A386" s="2" t="n">
        <v>385</v>
      </c>
      <c r="B386">
        <f>IFERROR(INDEX('2001'!$O$2:$O$489,MATCH($A386,'2001'!$A$2:$A$489,0)),"")</f>
        <v/>
      </c>
      <c r="C386">
        <f>IFERROR(INDEX('2011'!$N$2:$N$490,MATCH($A386,'2011'!$A$2:$A$490,0)),"")</f>
        <v/>
      </c>
      <c r="D386" s="3">
        <f>IFERROR(INDEX('2001'!$Y$2:$Y$489,MATCH($A386,'2001'!$A$2:$A$489,0)),"")</f>
        <v/>
      </c>
      <c r="E386" s="3">
        <f>IFERROR(INDEX('2011'!$X$2:$X$490,MATCH($A386,'2011'!$A$2:$A$490,0)),"")</f>
        <v/>
      </c>
      <c r="F386" s="4">
        <f>IF(OR($D386="",$E386=""),"",$E386-$D386)</f>
        <v/>
      </c>
      <c r="G386">
        <f>IF(OR($B386="",$C386=""),"",$C386-$B386)</f>
        <v/>
      </c>
    </row>
    <row r="387">
      <c r="A387" s="2" t="n">
        <v>386</v>
      </c>
      <c r="B387">
        <f>IFERROR(INDEX('2001'!$O$2:$O$489,MATCH($A387,'2001'!$A$2:$A$489,0)),"")</f>
        <v/>
      </c>
      <c r="C387">
        <f>IFERROR(INDEX('2011'!$N$2:$N$490,MATCH($A387,'2011'!$A$2:$A$490,0)),"")</f>
        <v/>
      </c>
      <c r="D387" s="3">
        <f>IFERROR(INDEX('2001'!$Y$2:$Y$489,MATCH($A387,'2001'!$A$2:$A$489,0)),"")</f>
        <v/>
      </c>
      <c r="E387" s="3">
        <f>IFERROR(INDEX('2011'!$X$2:$X$490,MATCH($A387,'2011'!$A$2:$A$490,0)),"")</f>
        <v/>
      </c>
      <c r="F387" s="4">
        <f>IF(OR($D387="",$E387=""),"",$E387-$D387)</f>
        <v/>
      </c>
      <c r="G387">
        <f>IF(OR($B387="",$C387=""),"",$C387-$B387)</f>
        <v/>
      </c>
    </row>
    <row r="388">
      <c r="A388" s="2" t="n">
        <v>387</v>
      </c>
      <c r="B388">
        <f>IFERROR(INDEX('2001'!$O$2:$O$489,MATCH($A388,'2001'!$A$2:$A$489,0)),"")</f>
        <v/>
      </c>
      <c r="C388">
        <f>IFERROR(INDEX('2011'!$N$2:$N$490,MATCH($A388,'2011'!$A$2:$A$490,0)),"")</f>
        <v/>
      </c>
      <c r="D388" s="3">
        <f>IFERROR(INDEX('2001'!$Y$2:$Y$489,MATCH($A388,'2001'!$A$2:$A$489,0)),"")</f>
        <v/>
      </c>
      <c r="E388" s="3">
        <f>IFERROR(INDEX('2011'!$X$2:$X$490,MATCH($A388,'2011'!$A$2:$A$490,0)),"")</f>
        <v/>
      </c>
      <c r="F388" s="4">
        <f>IF(OR($D388="",$E388=""),"",$E388-$D388)</f>
        <v/>
      </c>
      <c r="G388">
        <f>IF(OR($B388="",$C388=""),"",$C388-$B388)</f>
        <v/>
      </c>
    </row>
    <row r="389">
      <c r="A389" s="2" t="n">
        <v>388</v>
      </c>
      <c r="B389">
        <f>IFERROR(INDEX('2001'!$O$2:$O$489,MATCH($A389,'2001'!$A$2:$A$489,0)),"")</f>
        <v/>
      </c>
      <c r="C389">
        <f>IFERROR(INDEX('2011'!$N$2:$N$490,MATCH($A389,'2011'!$A$2:$A$490,0)),"")</f>
        <v/>
      </c>
      <c r="D389" s="3">
        <f>IFERROR(INDEX('2001'!$Y$2:$Y$489,MATCH($A389,'2001'!$A$2:$A$489,0)),"")</f>
        <v/>
      </c>
      <c r="E389" s="3">
        <f>IFERROR(INDEX('2011'!$X$2:$X$490,MATCH($A389,'2011'!$A$2:$A$490,0)),"")</f>
        <v/>
      </c>
      <c r="F389" s="4">
        <f>IF(OR($D389="",$E389=""),"",$E389-$D389)</f>
        <v/>
      </c>
      <c r="G389">
        <f>IF(OR($B389="",$C389=""),"",$C389-$B389)</f>
        <v/>
      </c>
    </row>
    <row r="390">
      <c r="A390" s="2" t="n">
        <v>389</v>
      </c>
      <c r="B390">
        <f>IFERROR(INDEX('2001'!$O$2:$O$489,MATCH($A390,'2001'!$A$2:$A$489,0)),"")</f>
        <v/>
      </c>
      <c r="C390">
        <f>IFERROR(INDEX('2011'!$N$2:$N$490,MATCH($A390,'2011'!$A$2:$A$490,0)),"")</f>
        <v/>
      </c>
      <c r="D390" s="3">
        <f>IFERROR(INDEX('2001'!$Y$2:$Y$489,MATCH($A390,'2001'!$A$2:$A$489,0)),"")</f>
        <v/>
      </c>
      <c r="E390" s="3">
        <f>IFERROR(INDEX('2011'!$X$2:$X$490,MATCH($A390,'2011'!$A$2:$A$490,0)),"")</f>
        <v/>
      </c>
      <c r="F390" s="4">
        <f>IF(OR($D390="",$E390=""),"",$E390-$D390)</f>
        <v/>
      </c>
      <c r="G390">
        <f>IF(OR($B390="",$C390=""),"",$C390-$B390)</f>
        <v/>
      </c>
    </row>
    <row r="391">
      <c r="A391" s="2" t="n">
        <v>390</v>
      </c>
      <c r="B391">
        <f>IFERROR(INDEX('2001'!$O$2:$O$489,MATCH($A391,'2001'!$A$2:$A$489,0)),"")</f>
        <v/>
      </c>
      <c r="C391">
        <f>IFERROR(INDEX('2011'!$N$2:$N$490,MATCH($A391,'2011'!$A$2:$A$490,0)),"")</f>
        <v/>
      </c>
      <c r="D391" s="3">
        <f>IFERROR(INDEX('2001'!$Y$2:$Y$489,MATCH($A391,'2001'!$A$2:$A$489,0)),"")</f>
        <v/>
      </c>
      <c r="E391" s="3">
        <f>IFERROR(INDEX('2011'!$X$2:$X$490,MATCH($A391,'2011'!$A$2:$A$490,0)),"")</f>
        <v/>
      </c>
      <c r="F391" s="4">
        <f>IF(OR($D391="",$E391=""),"",$E391-$D391)</f>
        <v/>
      </c>
      <c r="G391">
        <f>IF(OR($B391="",$C391=""),"",$C391-$B391)</f>
        <v/>
      </c>
    </row>
    <row r="392">
      <c r="A392" s="2" t="n">
        <v>391</v>
      </c>
      <c r="B392">
        <f>IFERROR(INDEX('2001'!$O$2:$O$489,MATCH($A392,'2001'!$A$2:$A$489,0)),"")</f>
        <v/>
      </c>
      <c r="C392">
        <f>IFERROR(INDEX('2011'!$N$2:$N$490,MATCH($A392,'2011'!$A$2:$A$490,0)),"")</f>
        <v/>
      </c>
      <c r="D392" s="3">
        <f>IFERROR(INDEX('2001'!$Y$2:$Y$489,MATCH($A392,'2001'!$A$2:$A$489,0)),"")</f>
        <v/>
      </c>
      <c r="E392" s="3">
        <f>IFERROR(INDEX('2011'!$X$2:$X$490,MATCH($A392,'2011'!$A$2:$A$490,0)),"")</f>
        <v/>
      </c>
      <c r="F392" s="4">
        <f>IF(OR($D392="",$E392=""),"",$E392-$D392)</f>
        <v/>
      </c>
      <c r="G392">
        <f>IF(OR($B392="",$C392=""),"",$C392-$B392)</f>
        <v/>
      </c>
    </row>
    <row r="393">
      <c r="A393" s="2" t="n">
        <v>392</v>
      </c>
      <c r="B393">
        <f>IFERROR(INDEX('2001'!$O$2:$O$489,MATCH($A393,'2001'!$A$2:$A$489,0)),"")</f>
        <v/>
      </c>
      <c r="C393">
        <f>IFERROR(INDEX('2011'!$N$2:$N$490,MATCH($A393,'2011'!$A$2:$A$490,0)),"")</f>
        <v/>
      </c>
      <c r="D393" s="3">
        <f>IFERROR(INDEX('2001'!$Y$2:$Y$489,MATCH($A393,'2001'!$A$2:$A$489,0)),"")</f>
        <v/>
      </c>
      <c r="E393" s="3">
        <f>IFERROR(INDEX('2011'!$X$2:$X$490,MATCH($A393,'2011'!$A$2:$A$490,0)),"")</f>
        <v/>
      </c>
      <c r="F393" s="4">
        <f>IF(OR($D393="",$E393=""),"",$E393-$D393)</f>
        <v/>
      </c>
      <c r="G393">
        <f>IF(OR($B393="",$C393=""),"",$C393-$B393)</f>
        <v/>
      </c>
    </row>
    <row r="394">
      <c r="A394" s="2" t="n">
        <v>393</v>
      </c>
      <c r="B394">
        <f>IFERROR(INDEX('2001'!$O$2:$O$489,MATCH($A394,'2001'!$A$2:$A$489,0)),"")</f>
        <v/>
      </c>
      <c r="C394">
        <f>IFERROR(INDEX('2011'!$N$2:$N$490,MATCH($A394,'2011'!$A$2:$A$490,0)),"")</f>
        <v/>
      </c>
      <c r="D394" s="3">
        <f>IFERROR(INDEX('2001'!$Y$2:$Y$489,MATCH($A394,'2001'!$A$2:$A$489,0)),"")</f>
        <v/>
      </c>
      <c r="E394" s="3">
        <f>IFERROR(INDEX('2011'!$X$2:$X$490,MATCH($A394,'2011'!$A$2:$A$490,0)),"")</f>
        <v/>
      </c>
      <c r="F394" s="4">
        <f>IF(OR($D394="",$E394=""),"",$E394-$D394)</f>
        <v/>
      </c>
      <c r="G394">
        <f>IF(OR($B394="",$C394=""),"",$C394-$B394)</f>
        <v/>
      </c>
    </row>
    <row r="395">
      <c r="A395" s="2" t="n">
        <v>394</v>
      </c>
      <c r="B395">
        <f>IFERROR(INDEX('2001'!$O$2:$O$489,MATCH($A395,'2001'!$A$2:$A$489,0)),"")</f>
        <v/>
      </c>
      <c r="C395">
        <f>IFERROR(INDEX('2011'!$N$2:$N$490,MATCH($A395,'2011'!$A$2:$A$490,0)),"")</f>
        <v/>
      </c>
      <c r="D395" s="3">
        <f>IFERROR(INDEX('2001'!$Y$2:$Y$489,MATCH($A395,'2001'!$A$2:$A$489,0)),"")</f>
        <v/>
      </c>
      <c r="E395" s="3">
        <f>IFERROR(INDEX('2011'!$X$2:$X$490,MATCH($A395,'2011'!$A$2:$A$490,0)),"")</f>
        <v/>
      </c>
      <c r="F395" s="4">
        <f>IF(OR($D395="",$E395=""),"",$E395-$D395)</f>
        <v/>
      </c>
      <c r="G395">
        <f>IF(OR($B395="",$C395=""),"",$C395-$B395)</f>
        <v/>
      </c>
    </row>
    <row r="396">
      <c r="A396" s="2" t="n">
        <v>395</v>
      </c>
      <c r="B396">
        <f>IFERROR(INDEX('2001'!$O$2:$O$489,MATCH($A396,'2001'!$A$2:$A$489,0)),"")</f>
        <v/>
      </c>
      <c r="C396">
        <f>IFERROR(INDEX('2011'!$N$2:$N$490,MATCH($A396,'2011'!$A$2:$A$490,0)),"")</f>
        <v/>
      </c>
      <c r="D396" s="3">
        <f>IFERROR(INDEX('2001'!$Y$2:$Y$489,MATCH($A396,'2001'!$A$2:$A$489,0)),"")</f>
        <v/>
      </c>
      <c r="E396" s="3">
        <f>IFERROR(INDEX('2011'!$X$2:$X$490,MATCH($A396,'2011'!$A$2:$A$490,0)),"")</f>
        <v/>
      </c>
      <c r="F396" s="4">
        <f>IF(OR($D396="",$E396=""),"",$E396-$D396)</f>
        <v/>
      </c>
      <c r="G396">
        <f>IF(OR($B396="",$C396=""),"",$C396-$B396)</f>
        <v/>
      </c>
    </row>
    <row r="397">
      <c r="A397" s="2" t="n">
        <v>396</v>
      </c>
      <c r="B397">
        <f>IFERROR(INDEX('2001'!$O$2:$O$489,MATCH($A397,'2001'!$A$2:$A$489,0)),"")</f>
        <v/>
      </c>
      <c r="C397">
        <f>IFERROR(INDEX('2011'!$N$2:$N$490,MATCH($A397,'2011'!$A$2:$A$490,0)),"")</f>
        <v/>
      </c>
      <c r="D397" s="3">
        <f>IFERROR(INDEX('2001'!$Y$2:$Y$489,MATCH($A397,'2001'!$A$2:$A$489,0)),"")</f>
        <v/>
      </c>
      <c r="E397" s="3">
        <f>IFERROR(INDEX('2011'!$X$2:$X$490,MATCH($A397,'2011'!$A$2:$A$490,0)),"")</f>
        <v/>
      </c>
      <c r="F397" s="4">
        <f>IF(OR($D397="",$E397=""),"",$E397-$D397)</f>
        <v/>
      </c>
      <c r="G397">
        <f>IF(OR($B397="",$C397=""),"",$C397-$B397)</f>
        <v/>
      </c>
    </row>
    <row r="398">
      <c r="A398" s="2" t="n">
        <v>397</v>
      </c>
      <c r="B398">
        <f>IFERROR(INDEX('2001'!$O$2:$O$489,MATCH($A398,'2001'!$A$2:$A$489,0)),"")</f>
        <v/>
      </c>
      <c r="C398">
        <f>IFERROR(INDEX('2011'!$N$2:$N$490,MATCH($A398,'2011'!$A$2:$A$490,0)),"")</f>
        <v/>
      </c>
      <c r="D398" s="3">
        <f>IFERROR(INDEX('2001'!$Y$2:$Y$489,MATCH($A398,'2001'!$A$2:$A$489,0)),"")</f>
        <v/>
      </c>
      <c r="E398" s="3">
        <f>IFERROR(INDEX('2011'!$X$2:$X$490,MATCH($A398,'2011'!$A$2:$A$490,0)),"")</f>
        <v/>
      </c>
      <c r="F398" s="4">
        <f>IF(OR($D398="",$E398=""),"",$E398-$D398)</f>
        <v/>
      </c>
      <c r="G398">
        <f>IF(OR($B398="",$C398=""),"",$C398-$B398)</f>
        <v/>
      </c>
    </row>
    <row r="399">
      <c r="A399" s="2" t="n">
        <v>398</v>
      </c>
      <c r="B399">
        <f>IFERROR(INDEX('2001'!$O$2:$O$489,MATCH($A399,'2001'!$A$2:$A$489,0)),"")</f>
        <v/>
      </c>
      <c r="C399">
        <f>IFERROR(INDEX('2011'!$N$2:$N$490,MATCH($A399,'2011'!$A$2:$A$490,0)),"")</f>
        <v/>
      </c>
      <c r="D399" s="3">
        <f>IFERROR(INDEX('2001'!$Y$2:$Y$489,MATCH($A399,'2001'!$A$2:$A$489,0)),"")</f>
        <v/>
      </c>
      <c r="E399" s="3">
        <f>IFERROR(INDEX('2011'!$X$2:$X$490,MATCH($A399,'2011'!$A$2:$A$490,0)),"")</f>
        <v/>
      </c>
      <c r="F399" s="4">
        <f>IF(OR($D399="",$E399=""),"",$E399-$D399)</f>
        <v/>
      </c>
      <c r="G399">
        <f>IF(OR($B399="",$C399=""),"",$C399-$B399)</f>
        <v/>
      </c>
    </row>
    <row r="400">
      <c r="A400" s="2" t="n">
        <v>399</v>
      </c>
      <c r="B400">
        <f>IFERROR(INDEX('2001'!$O$2:$O$489,MATCH($A400,'2001'!$A$2:$A$489,0)),"")</f>
        <v/>
      </c>
      <c r="C400">
        <f>IFERROR(INDEX('2011'!$N$2:$N$490,MATCH($A400,'2011'!$A$2:$A$490,0)),"")</f>
        <v/>
      </c>
      <c r="D400" s="3">
        <f>IFERROR(INDEX('2001'!$Y$2:$Y$489,MATCH($A400,'2001'!$A$2:$A$489,0)),"")</f>
        <v/>
      </c>
      <c r="E400" s="3">
        <f>IFERROR(INDEX('2011'!$X$2:$X$490,MATCH($A400,'2011'!$A$2:$A$490,0)),"")</f>
        <v/>
      </c>
      <c r="F400" s="4">
        <f>IF(OR($D400="",$E400=""),"",$E400-$D400)</f>
        <v/>
      </c>
      <c r="G400">
        <f>IF(OR($B400="",$C400=""),"",$C400-$B400)</f>
        <v/>
      </c>
    </row>
    <row r="401">
      <c r="A401" s="2" t="n">
        <v>400</v>
      </c>
      <c r="B401">
        <f>IFERROR(INDEX('2001'!$O$2:$O$489,MATCH($A401,'2001'!$A$2:$A$489,0)),"")</f>
        <v/>
      </c>
      <c r="C401">
        <f>IFERROR(INDEX('2011'!$N$2:$N$490,MATCH($A401,'2011'!$A$2:$A$490,0)),"")</f>
        <v/>
      </c>
      <c r="D401" s="3">
        <f>IFERROR(INDEX('2001'!$Y$2:$Y$489,MATCH($A401,'2001'!$A$2:$A$489,0)),"")</f>
        <v/>
      </c>
      <c r="E401" s="3">
        <f>IFERROR(INDEX('2011'!$X$2:$X$490,MATCH($A401,'2011'!$A$2:$A$490,0)),"")</f>
        <v/>
      </c>
      <c r="F401" s="4">
        <f>IF(OR($D401="",$E401=""),"",$E401-$D401)</f>
        <v/>
      </c>
      <c r="G401">
        <f>IF(OR($B401="",$C401=""),"",$C401-$B401)</f>
        <v/>
      </c>
    </row>
    <row r="402">
      <c r="A402" s="2" t="n">
        <v>401</v>
      </c>
      <c r="B402">
        <f>IFERROR(INDEX('2001'!$O$2:$O$489,MATCH($A402,'2001'!$A$2:$A$489,0)),"")</f>
        <v/>
      </c>
      <c r="C402">
        <f>IFERROR(INDEX('2011'!$N$2:$N$490,MATCH($A402,'2011'!$A$2:$A$490,0)),"")</f>
        <v/>
      </c>
      <c r="D402" s="3">
        <f>IFERROR(INDEX('2001'!$Y$2:$Y$489,MATCH($A402,'2001'!$A$2:$A$489,0)),"")</f>
        <v/>
      </c>
      <c r="E402" s="3">
        <f>IFERROR(INDEX('2011'!$X$2:$X$490,MATCH($A402,'2011'!$A$2:$A$490,0)),"")</f>
        <v/>
      </c>
      <c r="F402" s="4">
        <f>IF(OR($D402="",$E402=""),"",$E402-$D402)</f>
        <v/>
      </c>
      <c r="G402">
        <f>IF(OR($B402="",$C402=""),"",$C402-$B402)</f>
        <v/>
      </c>
    </row>
    <row r="403">
      <c r="A403" s="2" t="n">
        <v>402</v>
      </c>
      <c r="B403">
        <f>IFERROR(INDEX('2001'!$O$2:$O$489,MATCH($A403,'2001'!$A$2:$A$489,0)),"")</f>
        <v/>
      </c>
      <c r="C403">
        <f>IFERROR(INDEX('2011'!$N$2:$N$490,MATCH($A403,'2011'!$A$2:$A$490,0)),"")</f>
        <v/>
      </c>
      <c r="D403" s="3">
        <f>IFERROR(INDEX('2001'!$Y$2:$Y$489,MATCH($A403,'2001'!$A$2:$A$489,0)),"")</f>
        <v/>
      </c>
      <c r="E403" s="3">
        <f>IFERROR(INDEX('2011'!$X$2:$X$490,MATCH($A403,'2011'!$A$2:$A$490,0)),"")</f>
        <v/>
      </c>
      <c r="F403" s="4">
        <f>IF(OR($D403="",$E403=""),"",$E403-$D403)</f>
        <v/>
      </c>
      <c r="G403">
        <f>IF(OR($B403="",$C403=""),"",$C403-$B403)</f>
        <v/>
      </c>
    </row>
    <row r="404">
      <c r="A404" s="2" t="n">
        <v>403</v>
      </c>
      <c r="B404">
        <f>IFERROR(INDEX('2001'!$O$2:$O$489,MATCH($A404,'2001'!$A$2:$A$489,0)),"")</f>
        <v/>
      </c>
      <c r="C404">
        <f>IFERROR(INDEX('2011'!$N$2:$N$490,MATCH($A404,'2011'!$A$2:$A$490,0)),"")</f>
        <v/>
      </c>
      <c r="D404" s="3">
        <f>IFERROR(INDEX('2001'!$Y$2:$Y$489,MATCH($A404,'2001'!$A$2:$A$489,0)),"")</f>
        <v/>
      </c>
      <c r="E404" s="3">
        <f>IFERROR(INDEX('2011'!$X$2:$X$490,MATCH($A404,'2011'!$A$2:$A$490,0)),"")</f>
        <v/>
      </c>
      <c r="F404" s="4">
        <f>IF(OR($D404="",$E404=""),"",$E404-$D404)</f>
        <v/>
      </c>
      <c r="G404">
        <f>IF(OR($B404="",$C404=""),"",$C404-$B404)</f>
        <v/>
      </c>
    </row>
    <row r="405">
      <c r="A405" s="2" t="n">
        <v>404</v>
      </c>
      <c r="B405">
        <f>IFERROR(INDEX('2001'!$O$2:$O$489,MATCH($A405,'2001'!$A$2:$A$489,0)),"")</f>
        <v/>
      </c>
      <c r="C405">
        <f>IFERROR(INDEX('2011'!$N$2:$N$490,MATCH($A405,'2011'!$A$2:$A$490,0)),"")</f>
        <v/>
      </c>
      <c r="D405" s="3">
        <f>IFERROR(INDEX('2001'!$Y$2:$Y$489,MATCH($A405,'2001'!$A$2:$A$489,0)),"")</f>
        <v/>
      </c>
      <c r="E405" s="3">
        <f>IFERROR(INDEX('2011'!$X$2:$X$490,MATCH($A405,'2011'!$A$2:$A$490,0)),"")</f>
        <v/>
      </c>
      <c r="F405" s="4">
        <f>IF(OR($D405="",$E405=""),"",$E405-$D405)</f>
        <v/>
      </c>
      <c r="G405">
        <f>IF(OR($B405="",$C405=""),"",$C405-$B405)</f>
        <v/>
      </c>
    </row>
    <row r="406">
      <c r="A406" s="2" t="n">
        <v>405</v>
      </c>
      <c r="B406">
        <f>IFERROR(INDEX('2001'!$O$2:$O$489,MATCH($A406,'2001'!$A$2:$A$489,0)),"")</f>
        <v/>
      </c>
      <c r="C406">
        <f>IFERROR(INDEX('2011'!$N$2:$N$490,MATCH($A406,'2011'!$A$2:$A$490,0)),"")</f>
        <v/>
      </c>
      <c r="D406" s="3">
        <f>IFERROR(INDEX('2001'!$Y$2:$Y$489,MATCH($A406,'2001'!$A$2:$A$489,0)),"")</f>
        <v/>
      </c>
      <c r="E406" s="3">
        <f>IFERROR(INDEX('2011'!$X$2:$X$490,MATCH($A406,'2011'!$A$2:$A$490,0)),"")</f>
        <v/>
      </c>
      <c r="F406" s="4">
        <f>IF(OR($D406="",$E406=""),"",$E406-$D406)</f>
        <v/>
      </c>
      <c r="G406">
        <f>IF(OR($B406="",$C406=""),"",$C406-$B406)</f>
        <v/>
      </c>
    </row>
    <row r="407">
      <c r="A407" s="2" t="n">
        <v>406</v>
      </c>
      <c r="B407">
        <f>IFERROR(INDEX('2001'!$O$2:$O$489,MATCH($A407,'2001'!$A$2:$A$489,0)),"")</f>
        <v/>
      </c>
      <c r="C407">
        <f>IFERROR(INDEX('2011'!$N$2:$N$490,MATCH($A407,'2011'!$A$2:$A$490,0)),"")</f>
        <v/>
      </c>
      <c r="D407" s="3">
        <f>IFERROR(INDEX('2001'!$Y$2:$Y$489,MATCH($A407,'2001'!$A$2:$A$489,0)),"")</f>
        <v/>
      </c>
      <c r="E407" s="3">
        <f>IFERROR(INDEX('2011'!$X$2:$X$490,MATCH($A407,'2011'!$A$2:$A$490,0)),"")</f>
        <v/>
      </c>
      <c r="F407" s="4">
        <f>IF(OR($D407="",$E407=""),"",$E407-$D407)</f>
        <v/>
      </c>
      <c r="G407">
        <f>IF(OR($B407="",$C407=""),"",$C407-$B407)</f>
        <v/>
      </c>
    </row>
    <row r="408">
      <c r="A408" s="2" t="n">
        <v>407</v>
      </c>
      <c r="B408">
        <f>IFERROR(INDEX('2001'!$O$2:$O$489,MATCH($A408,'2001'!$A$2:$A$489,0)),"")</f>
        <v/>
      </c>
      <c r="C408">
        <f>IFERROR(INDEX('2011'!$N$2:$N$490,MATCH($A408,'2011'!$A$2:$A$490,0)),"")</f>
        <v/>
      </c>
      <c r="D408" s="3">
        <f>IFERROR(INDEX('2001'!$Y$2:$Y$489,MATCH($A408,'2001'!$A$2:$A$489,0)),"")</f>
        <v/>
      </c>
      <c r="E408" s="3">
        <f>IFERROR(INDEX('2011'!$X$2:$X$490,MATCH($A408,'2011'!$A$2:$A$490,0)),"")</f>
        <v/>
      </c>
      <c r="F408" s="4">
        <f>IF(OR($D408="",$E408=""),"",$E408-$D408)</f>
        <v/>
      </c>
      <c r="G408">
        <f>IF(OR($B408="",$C408=""),"",$C408-$B408)</f>
        <v/>
      </c>
    </row>
    <row r="409">
      <c r="A409" s="2" t="n">
        <v>408</v>
      </c>
      <c r="B409">
        <f>IFERROR(INDEX('2001'!$O$2:$O$489,MATCH($A409,'2001'!$A$2:$A$489,0)),"")</f>
        <v/>
      </c>
      <c r="C409">
        <f>IFERROR(INDEX('2011'!$N$2:$N$490,MATCH($A409,'2011'!$A$2:$A$490,0)),"")</f>
        <v/>
      </c>
      <c r="D409" s="3">
        <f>IFERROR(INDEX('2001'!$Y$2:$Y$489,MATCH($A409,'2001'!$A$2:$A$489,0)),"")</f>
        <v/>
      </c>
      <c r="E409" s="3">
        <f>IFERROR(INDEX('2011'!$X$2:$X$490,MATCH($A409,'2011'!$A$2:$A$490,0)),"")</f>
        <v/>
      </c>
      <c r="F409" s="4">
        <f>IF(OR($D409="",$E409=""),"",$E409-$D409)</f>
        <v/>
      </c>
      <c r="G409">
        <f>IF(OR($B409="",$C409=""),"",$C409-$B409)</f>
        <v/>
      </c>
    </row>
    <row r="410">
      <c r="A410" s="2" t="n">
        <v>409</v>
      </c>
      <c r="B410">
        <f>IFERROR(INDEX('2001'!$O$2:$O$489,MATCH($A410,'2001'!$A$2:$A$489,0)),"")</f>
        <v/>
      </c>
      <c r="C410">
        <f>IFERROR(INDEX('2011'!$N$2:$N$490,MATCH($A410,'2011'!$A$2:$A$490,0)),"")</f>
        <v/>
      </c>
      <c r="D410" s="3">
        <f>IFERROR(INDEX('2001'!$Y$2:$Y$489,MATCH($A410,'2001'!$A$2:$A$489,0)),"")</f>
        <v/>
      </c>
      <c r="E410" s="3">
        <f>IFERROR(INDEX('2011'!$X$2:$X$490,MATCH($A410,'2011'!$A$2:$A$490,0)),"")</f>
        <v/>
      </c>
      <c r="F410" s="4">
        <f>IF(OR($D410="",$E410=""),"",$E410-$D410)</f>
        <v/>
      </c>
      <c r="G410">
        <f>IF(OR($B410="",$C410=""),"",$C410-$B410)</f>
        <v/>
      </c>
    </row>
    <row r="411">
      <c r="A411" s="2" t="n">
        <v>410</v>
      </c>
      <c r="B411">
        <f>IFERROR(INDEX('2001'!$O$2:$O$489,MATCH($A411,'2001'!$A$2:$A$489,0)),"")</f>
        <v/>
      </c>
      <c r="C411">
        <f>IFERROR(INDEX('2011'!$N$2:$N$490,MATCH($A411,'2011'!$A$2:$A$490,0)),"")</f>
        <v/>
      </c>
      <c r="D411" s="3">
        <f>IFERROR(INDEX('2001'!$Y$2:$Y$489,MATCH($A411,'2001'!$A$2:$A$489,0)),"")</f>
        <v/>
      </c>
      <c r="E411" s="3">
        <f>IFERROR(INDEX('2011'!$X$2:$X$490,MATCH($A411,'2011'!$A$2:$A$490,0)),"")</f>
        <v/>
      </c>
      <c r="F411" s="4">
        <f>IF(OR($D411="",$E411=""),"",$E411-$D411)</f>
        <v/>
      </c>
      <c r="G411">
        <f>IF(OR($B411="",$C411=""),"",$C411-$B411)</f>
        <v/>
      </c>
    </row>
    <row r="412">
      <c r="A412" s="2" t="n">
        <v>411</v>
      </c>
      <c r="B412">
        <f>IFERROR(INDEX('2001'!$O$2:$O$489,MATCH($A412,'2001'!$A$2:$A$489,0)),"")</f>
        <v/>
      </c>
      <c r="C412">
        <f>IFERROR(INDEX('2011'!$N$2:$N$490,MATCH($A412,'2011'!$A$2:$A$490,0)),"")</f>
        <v/>
      </c>
      <c r="D412" s="3">
        <f>IFERROR(INDEX('2001'!$Y$2:$Y$489,MATCH($A412,'2001'!$A$2:$A$489,0)),"")</f>
        <v/>
      </c>
      <c r="E412" s="3">
        <f>IFERROR(INDEX('2011'!$X$2:$X$490,MATCH($A412,'2011'!$A$2:$A$490,0)),"")</f>
        <v/>
      </c>
      <c r="F412" s="4">
        <f>IF(OR($D412="",$E412=""),"",$E412-$D412)</f>
        <v/>
      </c>
      <c r="G412">
        <f>IF(OR($B412="",$C412=""),"",$C412-$B412)</f>
        <v/>
      </c>
    </row>
    <row r="413">
      <c r="A413" s="2" t="n">
        <v>412</v>
      </c>
      <c r="B413">
        <f>IFERROR(INDEX('2001'!$O$2:$O$489,MATCH($A413,'2001'!$A$2:$A$489,0)),"")</f>
        <v/>
      </c>
      <c r="C413">
        <f>IFERROR(INDEX('2011'!$N$2:$N$490,MATCH($A413,'2011'!$A$2:$A$490,0)),"")</f>
        <v/>
      </c>
      <c r="D413" s="3">
        <f>IFERROR(INDEX('2001'!$Y$2:$Y$489,MATCH($A413,'2001'!$A$2:$A$489,0)),"")</f>
        <v/>
      </c>
      <c r="E413" s="3">
        <f>IFERROR(INDEX('2011'!$X$2:$X$490,MATCH($A413,'2011'!$A$2:$A$490,0)),"")</f>
        <v/>
      </c>
      <c r="F413" s="4">
        <f>IF(OR($D413="",$E413=""),"",$E413-$D413)</f>
        <v/>
      </c>
      <c r="G413">
        <f>IF(OR($B413="",$C413=""),"",$C413-$B413)</f>
        <v/>
      </c>
    </row>
    <row r="414">
      <c r="A414" s="2" t="n">
        <v>413</v>
      </c>
      <c r="B414">
        <f>IFERROR(INDEX('2001'!$O$2:$O$489,MATCH($A414,'2001'!$A$2:$A$489,0)),"")</f>
        <v/>
      </c>
      <c r="C414">
        <f>IFERROR(INDEX('2011'!$N$2:$N$490,MATCH($A414,'2011'!$A$2:$A$490,0)),"")</f>
        <v/>
      </c>
      <c r="D414" s="3">
        <f>IFERROR(INDEX('2001'!$Y$2:$Y$489,MATCH($A414,'2001'!$A$2:$A$489,0)),"")</f>
        <v/>
      </c>
      <c r="E414" s="3">
        <f>IFERROR(INDEX('2011'!$X$2:$X$490,MATCH($A414,'2011'!$A$2:$A$490,0)),"")</f>
        <v/>
      </c>
      <c r="F414" s="4">
        <f>IF(OR($D414="",$E414=""),"",$E414-$D414)</f>
        <v/>
      </c>
      <c r="G414">
        <f>IF(OR($B414="",$C414=""),"",$C414-$B414)</f>
        <v/>
      </c>
    </row>
    <row r="415">
      <c r="A415" s="2" t="n">
        <v>414</v>
      </c>
      <c r="B415">
        <f>IFERROR(INDEX('2001'!$O$2:$O$489,MATCH($A415,'2001'!$A$2:$A$489,0)),"")</f>
        <v/>
      </c>
      <c r="C415">
        <f>IFERROR(INDEX('2011'!$N$2:$N$490,MATCH($A415,'2011'!$A$2:$A$490,0)),"")</f>
        <v/>
      </c>
      <c r="D415" s="3">
        <f>IFERROR(INDEX('2001'!$Y$2:$Y$489,MATCH($A415,'2001'!$A$2:$A$489,0)),"")</f>
        <v/>
      </c>
      <c r="E415" s="3">
        <f>IFERROR(INDEX('2011'!$X$2:$X$490,MATCH($A415,'2011'!$A$2:$A$490,0)),"")</f>
        <v/>
      </c>
      <c r="F415" s="4">
        <f>IF(OR($D415="",$E415=""),"",$E415-$D415)</f>
        <v/>
      </c>
      <c r="G415">
        <f>IF(OR($B415="",$C415=""),"",$C415-$B415)</f>
        <v/>
      </c>
    </row>
    <row r="416">
      <c r="A416" s="2" t="n">
        <v>415</v>
      </c>
      <c r="B416">
        <f>IFERROR(INDEX('2001'!$O$2:$O$489,MATCH($A416,'2001'!$A$2:$A$489,0)),"")</f>
        <v/>
      </c>
      <c r="C416">
        <f>IFERROR(INDEX('2011'!$N$2:$N$490,MATCH($A416,'2011'!$A$2:$A$490,0)),"")</f>
        <v/>
      </c>
      <c r="D416" s="3">
        <f>IFERROR(INDEX('2001'!$Y$2:$Y$489,MATCH($A416,'2001'!$A$2:$A$489,0)),"")</f>
        <v/>
      </c>
      <c r="E416" s="3">
        <f>IFERROR(INDEX('2011'!$X$2:$X$490,MATCH($A416,'2011'!$A$2:$A$490,0)),"")</f>
        <v/>
      </c>
      <c r="F416" s="4">
        <f>IF(OR($D416="",$E416=""),"",$E416-$D416)</f>
        <v/>
      </c>
      <c r="G416">
        <f>IF(OR($B416="",$C416=""),"",$C416-$B416)</f>
        <v/>
      </c>
    </row>
    <row r="417">
      <c r="A417" s="2" t="n">
        <v>416</v>
      </c>
      <c r="B417">
        <f>IFERROR(INDEX('2001'!$O$2:$O$489,MATCH($A417,'2001'!$A$2:$A$489,0)),"")</f>
        <v/>
      </c>
      <c r="C417">
        <f>IFERROR(INDEX('2011'!$N$2:$N$490,MATCH($A417,'2011'!$A$2:$A$490,0)),"")</f>
        <v/>
      </c>
      <c r="D417" s="3">
        <f>IFERROR(INDEX('2001'!$Y$2:$Y$489,MATCH($A417,'2001'!$A$2:$A$489,0)),"")</f>
        <v/>
      </c>
      <c r="E417" s="3">
        <f>IFERROR(INDEX('2011'!$X$2:$X$490,MATCH($A417,'2011'!$A$2:$A$490,0)),"")</f>
        <v/>
      </c>
      <c r="F417" s="4">
        <f>IF(OR($D417="",$E417=""),"",$E417-$D417)</f>
        <v/>
      </c>
      <c r="G417">
        <f>IF(OR($B417="",$C417=""),"",$C417-$B417)</f>
        <v/>
      </c>
    </row>
    <row r="418">
      <c r="A418" s="2" t="n">
        <v>417</v>
      </c>
      <c r="B418">
        <f>IFERROR(INDEX('2001'!$O$2:$O$489,MATCH($A418,'2001'!$A$2:$A$489,0)),"")</f>
        <v/>
      </c>
      <c r="C418">
        <f>IFERROR(INDEX('2011'!$N$2:$N$490,MATCH($A418,'2011'!$A$2:$A$490,0)),"")</f>
        <v/>
      </c>
      <c r="D418" s="3">
        <f>IFERROR(INDEX('2001'!$Y$2:$Y$489,MATCH($A418,'2001'!$A$2:$A$489,0)),"")</f>
        <v/>
      </c>
      <c r="E418" s="3">
        <f>IFERROR(INDEX('2011'!$X$2:$X$490,MATCH($A418,'2011'!$A$2:$A$490,0)),"")</f>
        <v/>
      </c>
      <c r="F418" s="4">
        <f>IF(OR($D418="",$E418=""),"",$E418-$D418)</f>
        <v/>
      </c>
      <c r="G418">
        <f>IF(OR($B418="",$C418=""),"",$C418-$B418)</f>
        <v/>
      </c>
    </row>
    <row r="419">
      <c r="A419" s="2" t="n">
        <v>418</v>
      </c>
      <c r="B419">
        <f>IFERROR(INDEX('2001'!$O$2:$O$489,MATCH($A419,'2001'!$A$2:$A$489,0)),"")</f>
        <v/>
      </c>
      <c r="C419">
        <f>IFERROR(INDEX('2011'!$N$2:$N$490,MATCH($A419,'2011'!$A$2:$A$490,0)),"")</f>
        <v/>
      </c>
      <c r="D419" s="3">
        <f>IFERROR(INDEX('2001'!$Y$2:$Y$489,MATCH($A419,'2001'!$A$2:$A$489,0)),"")</f>
        <v/>
      </c>
      <c r="E419" s="3">
        <f>IFERROR(INDEX('2011'!$X$2:$X$490,MATCH($A419,'2011'!$A$2:$A$490,0)),"")</f>
        <v/>
      </c>
      <c r="F419" s="4">
        <f>IF(OR($D419="",$E419=""),"",$E419-$D419)</f>
        <v/>
      </c>
      <c r="G419">
        <f>IF(OR($B419="",$C419=""),"",$C419-$B419)</f>
        <v/>
      </c>
    </row>
    <row r="420">
      <c r="A420" s="2" t="n">
        <v>419</v>
      </c>
      <c r="B420">
        <f>IFERROR(INDEX('2001'!$O$2:$O$489,MATCH($A420,'2001'!$A$2:$A$489,0)),"")</f>
        <v/>
      </c>
      <c r="C420">
        <f>IFERROR(INDEX('2011'!$N$2:$N$490,MATCH($A420,'2011'!$A$2:$A$490,0)),"")</f>
        <v/>
      </c>
      <c r="D420" s="3">
        <f>IFERROR(INDEX('2001'!$Y$2:$Y$489,MATCH($A420,'2001'!$A$2:$A$489,0)),"")</f>
        <v/>
      </c>
      <c r="E420" s="3">
        <f>IFERROR(INDEX('2011'!$X$2:$X$490,MATCH($A420,'2011'!$A$2:$A$490,0)),"")</f>
        <v/>
      </c>
      <c r="F420" s="4">
        <f>IF(OR($D420="",$E420=""),"",$E420-$D420)</f>
        <v/>
      </c>
      <c r="G420">
        <f>IF(OR($B420="",$C420=""),"",$C420-$B420)</f>
        <v/>
      </c>
    </row>
    <row r="421">
      <c r="A421" s="2" t="n">
        <v>420</v>
      </c>
      <c r="B421">
        <f>IFERROR(INDEX('2001'!$O$2:$O$489,MATCH($A421,'2001'!$A$2:$A$489,0)),"")</f>
        <v/>
      </c>
      <c r="C421">
        <f>IFERROR(INDEX('2011'!$N$2:$N$490,MATCH($A421,'2011'!$A$2:$A$490,0)),"")</f>
        <v/>
      </c>
      <c r="D421" s="3">
        <f>IFERROR(INDEX('2001'!$Y$2:$Y$489,MATCH($A421,'2001'!$A$2:$A$489,0)),"")</f>
        <v/>
      </c>
      <c r="E421" s="3">
        <f>IFERROR(INDEX('2011'!$X$2:$X$490,MATCH($A421,'2011'!$A$2:$A$490,0)),"")</f>
        <v/>
      </c>
      <c r="F421" s="4">
        <f>IF(OR($D421="",$E421=""),"",$E421-$D421)</f>
        <v/>
      </c>
      <c r="G421">
        <f>IF(OR($B421="",$C421=""),"",$C421-$B421)</f>
        <v/>
      </c>
    </row>
    <row r="422">
      <c r="A422" s="2" t="n">
        <v>421</v>
      </c>
      <c r="B422">
        <f>IFERROR(INDEX('2001'!$O$2:$O$489,MATCH($A422,'2001'!$A$2:$A$489,0)),"")</f>
        <v/>
      </c>
      <c r="C422">
        <f>IFERROR(INDEX('2011'!$N$2:$N$490,MATCH($A422,'2011'!$A$2:$A$490,0)),"")</f>
        <v/>
      </c>
      <c r="D422" s="3">
        <f>IFERROR(INDEX('2001'!$Y$2:$Y$489,MATCH($A422,'2001'!$A$2:$A$489,0)),"")</f>
        <v/>
      </c>
      <c r="E422" s="3">
        <f>IFERROR(INDEX('2011'!$X$2:$X$490,MATCH($A422,'2011'!$A$2:$A$490,0)),"")</f>
        <v/>
      </c>
      <c r="F422" s="4">
        <f>IF(OR($D422="",$E422=""),"",$E422-$D422)</f>
        <v/>
      </c>
      <c r="G422">
        <f>IF(OR($B422="",$C422=""),"",$C422-$B422)</f>
        <v/>
      </c>
    </row>
    <row r="423">
      <c r="A423" s="2" t="n">
        <v>422</v>
      </c>
      <c r="B423">
        <f>IFERROR(INDEX('2001'!$O$2:$O$489,MATCH($A423,'2001'!$A$2:$A$489,0)),"")</f>
        <v/>
      </c>
      <c r="C423">
        <f>IFERROR(INDEX('2011'!$N$2:$N$490,MATCH($A423,'2011'!$A$2:$A$490,0)),"")</f>
        <v/>
      </c>
      <c r="D423" s="3">
        <f>IFERROR(INDEX('2001'!$Y$2:$Y$489,MATCH($A423,'2001'!$A$2:$A$489,0)),"")</f>
        <v/>
      </c>
      <c r="E423" s="3">
        <f>IFERROR(INDEX('2011'!$X$2:$X$490,MATCH($A423,'2011'!$A$2:$A$490,0)),"")</f>
        <v/>
      </c>
      <c r="F423" s="4">
        <f>IF(OR($D423="",$E423=""),"",$E423-$D423)</f>
        <v/>
      </c>
      <c r="G423">
        <f>IF(OR($B423="",$C423=""),"",$C423-$B423)</f>
        <v/>
      </c>
    </row>
    <row r="424">
      <c r="A424" s="2" t="n">
        <v>423</v>
      </c>
      <c r="B424">
        <f>IFERROR(INDEX('2001'!$O$2:$O$489,MATCH($A424,'2001'!$A$2:$A$489,0)),"")</f>
        <v/>
      </c>
      <c r="C424">
        <f>IFERROR(INDEX('2011'!$N$2:$N$490,MATCH($A424,'2011'!$A$2:$A$490,0)),"")</f>
        <v/>
      </c>
      <c r="D424" s="3">
        <f>IFERROR(INDEX('2001'!$Y$2:$Y$489,MATCH($A424,'2001'!$A$2:$A$489,0)),"")</f>
        <v/>
      </c>
      <c r="E424" s="3">
        <f>IFERROR(INDEX('2011'!$X$2:$X$490,MATCH($A424,'2011'!$A$2:$A$490,0)),"")</f>
        <v/>
      </c>
      <c r="F424" s="4">
        <f>IF(OR($D424="",$E424=""),"",$E424-$D424)</f>
        <v/>
      </c>
      <c r="G424">
        <f>IF(OR($B424="",$C424=""),"",$C424-$B424)</f>
        <v/>
      </c>
    </row>
    <row r="425">
      <c r="A425" s="2" t="n">
        <v>424</v>
      </c>
      <c r="B425">
        <f>IFERROR(INDEX('2001'!$O$2:$O$489,MATCH($A425,'2001'!$A$2:$A$489,0)),"")</f>
        <v/>
      </c>
      <c r="C425">
        <f>IFERROR(INDEX('2011'!$N$2:$N$490,MATCH($A425,'2011'!$A$2:$A$490,0)),"")</f>
        <v/>
      </c>
      <c r="D425" s="3">
        <f>IFERROR(INDEX('2001'!$Y$2:$Y$489,MATCH($A425,'2001'!$A$2:$A$489,0)),"")</f>
        <v/>
      </c>
      <c r="E425" s="3">
        <f>IFERROR(INDEX('2011'!$X$2:$X$490,MATCH($A425,'2011'!$A$2:$A$490,0)),"")</f>
        <v/>
      </c>
      <c r="F425" s="4">
        <f>IF(OR($D425="",$E425=""),"",$E425-$D425)</f>
        <v/>
      </c>
      <c r="G425">
        <f>IF(OR($B425="",$C425=""),"",$C425-$B425)</f>
        <v/>
      </c>
    </row>
    <row r="426">
      <c r="A426" s="2" t="n">
        <v>425</v>
      </c>
      <c r="B426">
        <f>IFERROR(INDEX('2001'!$O$2:$O$489,MATCH($A426,'2001'!$A$2:$A$489,0)),"")</f>
        <v/>
      </c>
      <c r="C426">
        <f>IFERROR(INDEX('2011'!$N$2:$N$490,MATCH($A426,'2011'!$A$2:$A$490,0)),"")</f>
        <v/>
      </c>
      <c r="D426" s="3">
        <f>IFERROR(INDEX('2001'!$Y$2:$Y$489,MATCH($A426,'2001'!$A$2:$A$489,0)),"")</f>
        <v/>
      </c>
      <c r="E426" s="3">
        <f>IFERROR(INDEX('2011'!$X$2:$X$490,MATCH($A426,'2011'!$A$2:$A$490,0)),"")</f>
        <v/>
      </c>
      <c r="F426" s="4">
        <f>IF(OR($D426="",$E426=""),"",$E426-$D426)</f>
        <v/>
      </c>
      <c r="G426">
        <f>IF(OR($B426="",$C426=""),"",$C426-$B426)</f>
        <v/>
      </c>
    </row>
    <row r="427">
      <c r="A427" s="2" t="n">
        <v>426</v>
      </c>
      <c r="B427">
        <f>IFERROR(INDEX('2001'!$O$2:$O$489,MATCH($A427,'2001'!$A$2:$A$489,0)),"")</f>
        <v/>
      </c>
      <c r="C427">
        <f>IFERROR(INDEX('2011'!$N$2:$N$490,MATCH($A427,'2011'!$A$2:$A$490,0)),"")</f>
        <v/>
      </c>
      <c r="D427" s="3">
        <f>IFERROR(INDEX('2001'!$Y$2:$Y$489,MATCH($A427,'2001'!$A$2:$A$489,0)),"")</f>
        <v/>
      </c>
      <c r="E427" s="3">
        <f>IFERROR(INDEX('2011'!$X$2:$X$490,MATCH($A427,'2011'!$A$2:$A$490,0)),"")</f>
        <v/>
      </c>
      <c r="F427" s="4">
        <f>IF(OR($D427="",$E427=""),"",$E427-$D427)</f>
        <v/>
      </c>
      <c r="G427">
        <f>IF(OR($B427="",$C427=""),"",$C427-$B427)</f>
        <v/>
      </c>
    </row>
    <row r="428">
      <c r="A428" s="2" t="n">
        <v>427</v>
      </c>
      <c r="B428">
        <f>IFERROR(INDEX('2001'!$O$2:$O$489,MATCH($A428,'2001'!$A$2:$A$489,0)),"")</f>
        <v/>
      </c>
      <c r="C428">
        <f>IFERROR(INDEX('2011'!$N$2:$N$490,MATCH($A428,'2011'!$A$2:$A$490,0)),"")</f>
        <v/>
      </c>
      <c r="D428" s="3">
        <f>IFERROR(INDEX('2001'!$Y$2:$Y$489,MATCH($A428,'2001'!$A$2:$A$489,0)),"")</f>
        <v/>
      </c>
      <c r="E428" s="3">
        <f>IFERROR(INDEX('2011'!$X$2:$X$490,MATCH($A428,'2011'!$A$2:$A$490,0)),"")</f>
        <v/>
      </c>
      <c r="F428" s="4">
        <f>IF(OR($D428="",$E428=""),"",$E428-$D428)</f>
        <v/>
      </c>
      <c r="G428">
        <f>IF(OR($B428="",$C428=""),"",$C428-$B428)</f>
        <v/>
      </c>
    </row>
    <row r="429">
      <c r="A429" s="2" t="n">
        <v>428</v>
      </c>
      <c r="B429">
        <f>IFERROR(INDEX('2001'!$O$2:$O$489,MATCH($A429,'2001'!$A$2:$A$489,0)),"")</f>
        <v/>
      </c>
      <c r="C429">
        <f>IFERROR(INDEX('2011'!$N$2:$N$490,MATCH($A429,'2011'!$A$2:$A$490,0)),"")</f>
        <v/>
      </c>
      <c r="D429" s="3">
        <f>IFERROR(INDEX('2001'!$Y$2:$Y$489,MATCH($A429,'2001'!$A$2:$A$489,0)),"")</f>
        <v/>
      </c>
      <c r="E429" s="3">
        <f>IFERROR(INDEX('2011'!$X$2:$X$490,MATCH($A429,'2011'!$A$2:$A$490,0)),"")</f>
        <v/>
      </c>
      <c r="F429" s="4">
        <f>IF(OR($D429="",$E429=""),"",$E429-$D429)</f>
        <v/>
      </c>
      <c r="G429">
        <f>IF(OR($B429="",$C429=""),"",$C429-$B429)</f>
        <v/>
      </c>
    </row>
    <row r="430">
      <c r="A430" s="2" t="n">
        <v>429</v>
      </c>
      <c r="B430">
        <f>IFERROR(INDEX('2001'!$O$2:$O$489,MATCH($A430,'2001'!$A$2:$A$489,0)),"")</f>
        <v/>
      </c>
      <c r="C430">
        <f>IFERROR(INDEX('2011'!$N$2:$N$490,MATCH($A430,'2011'!$A$2:$A$490,0)),"")</f>
        <v/>
      </c>
      <c r="D430" s="3">
        <f>IFERROR(INDEX('2001'!$Y$2:$Y$489,MATCH($A430,'2001'!$A$2:$A$489,0)),"")</f>
        <v/>
      </c>
      <c r="E430" s="3">
        <f>IFERROR(INDEX('2011'!$X$2:$X$490,MATCH($A430,'2011'!$A$2:$A$490,0)),"")</f>
        <v/>
      </c>
      <c r="F430" s="4">
        <f>IF(OR($D430="",$E430=""),"",$E430-$D430)</f>
        <v/>
      </c>
      <c r="G430">
        <f>IF(OR($B430="",$C430=""),"",$C430-$B430)</f>
        <v/>
      </c>
    </row>
    <row r="431">
      <c r="A431" s="2" t="n">
        <v>430</v>
      </c>
      <c r="B431">
        <f>IFERROR(INDEX('2001'!$O$2:$O$489,MATCH($A431,'2001'!$A$2:$A$489,0)),"")</f>
        <v/>
      </c>
      <c r="C431">
        <f>IFERROR(INDEX('2011'!$N$2:$N$490,MATCH($A431,'2011'!$A$2:$A$490,0)),"")</f>
        <v/>
      </c>
      <c r="D431" s="3">
        <f>IFERROR(INDEX('2001'!$Y$2:$Y$489,MATCH($A431,'2001'!$A$2:$A$489,0)),"")</f>
        <v/>
      </c>
      <c r="E431" s="3">
        <f>IFERROR(INDEX('2011'!$X$2:$X$490,MATCH($A431,'2011'!$A$2:$A$490,0)),"")</f>
        <v/>
      </c>
      <c r="F431" s="4">
        <f>IF(OR($D431="",$E431=""),"",$E431-$D431)</f>
        <v/>
      </c>
      <c r="G431">
        <f>IF(OR($B431="",$C431=""),"",$C431-$B431)</f>
        <v/>
      </c>
    </row>
    <row r="432">
      <c r="A432" s="2" t="n">
        <v>431</v>
      </c>
      <c r="B432">
        <f>IFERROR(INDEX('2001'!$O$2:$O$489,MATCH($A432,'2001'!$A$2:$A$489,0)),"")</f>
        <v/>
      </c>
      <c r="C432">
        <f>IFERROR(INDEX('2011'!$N$2:$N$490,MATCH($A432,'2011'!$A$2:$A$490,0)),"")</f>
        <v/>
      </c>
      <c r="D432" s="3">
        <f>IFERROR(INDEX('2001'!$Y$2:$Y$489,MATCH($A432,'2001'!$A$2:$A$489,0)),"")</f>
        <v/>
      </c>
      <c r="E432" s="3">
        <f>IFERROR(INDEX('2011'!$X$2:$X$490,MATCH($A432,'2011'!$A$2:$A$490,0)),"")</f>
        <v/>
      </c>
      <c r="F432" s="4">
        <f>IF(OR($D432="",$E432=""),"",$E432-$D432)</f>
        <v/>
      </c>
      <c r="G432">
        <f>IF(OR($B432="",$C432=""),"",$C432-$B432)</f>
        <v/>
      </c>
    </row>
    <row r="433">
      <c r="A433" s="2" t="n">
        <v>432</v>
      </c>
      <c r="B433">
        <f>IFERROR(INDEX('2001'!$O$2:$O$489,MATCH($A433,'2001'!$A$2:$A$489,0)),"")</f>
        <v/>
      </c>
      <c r="C433">
        <f>IFERROR(INDEX('2011'!$N$2:$N$490,MATCH($A433,'2011'!$A$2:$A$490,0)),"")</f>
        <v/>
      </c>
      <c r="D433" s="3">
        <f>IFERROR(INDEX('2001'!$Y$2:$Y$489,MATCH($A433,'2001'!$A$2:$A$489,0)),"")</f>
        <v/>
      </c>
      <c r="E433" s="3">
        <f>IFERROR(INDEX('2011'!$X$2:$X$490,MATCH($A433,'2011'!$A$2:$A$490,0)),"")</f>
        <v/>
      </c>
      <c r="F433" s="4">
        <f>IF(OR($D433="",$E433=""),"",$E433-$D433)</f>
        <v/>
      </c>
      <c r="G433">
        <f>IF(OR($B433="",$C433=""),"",$C433-$B433)</f>
        <v/>
      </c>
    </row>
    <row r="434">
      <c r="A434" s="2" t="n">
        <v>433</v>
      </c>
      <c r="B434">
        <f>IFERROR(INDEX('2001'!$O$2:$O$489,MATCH($A434,'2001'!$A$2:$A$489,0)),"")</f>
        <v/>
      </c>
      <c r="C434">
        <f>IFERROR(INDEX('2011'!$N$2:$N$490,MATCH($A434,'2011'!$A$2:$A$490,0)),"")</f>
        <v/>
      </c>
      <c r="D434" s="3">
        <f>IFERROR(INDEX('2001'!$Y$2:$Y$489,MATCH($A434,'2001'!$A$2:$A$489,0)),"")</f>
        <v/>
      </c>
      <c r="E434" s="3">
        <f>IFERROR(INDEX('2011'!$X$2:$X$490,MATCH($A434,'2011'!$A$2:$A$490,0)),"")</f>
        <v/>
      </c>
      <c r="F434" s="4">
        <f>IF(OR($D434="",$E434=""),"",$E434-$D434)</f>
        <v/>
      </c>
      <c r="G434">
        <f>IF(OR($B434="",$C434=""),"",$C434-$B434)</f>
        <v/>
      </c>
    </row>
    <row r="435">
      <c r="A435" s="2" t="n">
        <v>434</v>
      </c>
      <c r="B435">
        <f>IFERROR(INDEX('2001'!$O$2:$O$489,MATCH($A435,'2001'!$A$2:$A$489,0)),"")</f>
        <v/>
      </c>
      <c r="C435">
        <f>IFERROR(INDEX('2011'!$N$2:$N$490,MATCH($A435,'2011'!$A$2:$A$490,0)),"")</f>
        <v/>
      </c>
      <c r="D435" s="3">
        <f>IFERROR(INDEX('2001'!$Y$2:$Y$489,MATCH($A435,'2001'!$A$2:$A$489,0)),"")</f>
        <v/>
      </c>
      <c r="E435" s="3">
        <f>IFERROR(INDEX('2011'!$X$2:$X$490,MATCH($A435,'2011'!$A$2:$A$490,0)),"")</f>
        <v/>
      </c>
      <c r="F435" s="4">
        <f>IF(OR($D435="",$E435=""),"",$E435-$D435)</f>
        <v/>
      </c>
      <c r="G435">
        <f>IF(OR($B435="",$C435=""),"",$C435-$B435)</f>
        <v/>
      </c>
    </row>
    <row r="436">
      <c r="A436" s="2" t="n">
        <v>435</v>
      </c>
      <c r="B436">
        <f>IFERROR(INDEX('2001'!$O$2:$O$489,MATCH($A436,'2001'!$A$2:$A$489,0)),"")</f>
        <v/>
      </c>
      <c r="C436">
        <f>IFERROR(INDEX('2011'!$N$2:$N$490,MATCH($A436,'2011'!$A$2:$A$490,0)),"")</f>
        <v/>
      </c>
      <c r="D436" s="3">
        <f>IFERROR(INDEX('2001'!$Y$2:$Y$489,MATCH($A436,'2001'!$A$2:$A$489,0)),"")</f>
        <v/>
      </c>
      <c r="E436" s="3">
        <f>IFERROR(INDEX('2011'!$X$2:$X$490,MATCH($A436,'2011'!$A$2:$A$490,0)),"")</f>
        <v/>
      </c>
      <c r="F436" s="4">
        <f>IF(OR($D436="",$E436=""),"",$E436-$D436)</f>
        <v/>
      </c>
      <c r="G436">
        <f>IF(OR($B436="",$C436=""),"",$C436-$B436)</f>
        <v/>
      </c>
    </row>
    <row r="437">
      <c r="A437" s="2" t="n">
        <v>436</v>
      </c>
      <c r="B437">
        <f>IFERROR(INDEX('2001'!$O$2:$O$489,MATCH($A437,'2001'!$A$2:$A$489,0)),"")</f>
        <v/>
      </c>
      <c r="C437">
        <f>IFERROR(INDEX('2011'!$N$2:$N$490,MATCH($A437,'2011'!$A$2:$A$490,0)),"")</f>
        <v/>
      </c>
      <c r="D437" s="3">
        <f>IFERROR(INDEX('2001'!$Y$2:$Y$489,MATCH($A437,'2001'!$A$2:$A$489,0)),"")</f>
        <v/>
      </c>
      <c r="E437" s="3">
        <f>IFERROR(INDEX('2011'!$X$2:$X$490,MATCH($A437,'2011'!$A$2:$A$490,0)),"")</f>
        <v/>
      </c>
      <c r="F437" s="4">
        <f>IF(OR($D437="",$E437=""),"",$E437-$D437)</f>
        <v/>
      </c>
      <c r="G437">
        <f>IF(OR($B437="",$C437=""),"",$C437-$B437)</f>
        <v/>
      </c>
    </row>
    <row r="438">
      <c r="A438" s="2" t="n">
        <v>437</v>
      </c>
      <c r="B438">
        <f>IFERROR(INDEX('2001'!$O$2:$O$489,MATCH($A438,'2001'!$A$2:$A$489,0)),"")</f>
        <v/>
      </c>
      <c r="C438">
        <f>IFERROR(INDEX('2011'!$N$2:$N$490,MATCH($A438,'2011'!$A$2:$A$490,0)),"")</f>
        <v/>
      </c>
      <c r="D438" s="3">
        <f>IFERROR(INDEX('2001'!$Y$2:$Y$489,MATCH($A438,'2001'!$A$2:$A$489,0)),"")</f>
        <v/>
      </c>
      <c r="E438" s="3">
        <f>IFERROR(INDEX('2011'!$X$2:$X$490,MATCH($A438,'2011'!$A$2:$A$490,0)),"")</f>
        <v/>
      </c>
      <c r="F438" s="4">
        <f>IF(OR($D438="",$E438=""),"",$E438-$D438)</f>
        <v/>
      </c>
      <c r="G438">
        <f>IF(OR($B438="",$C438=""),"",$C438-$B438)</f>
        <v/>
      </c>
    </row>
    <row r="439">
      <c r="A439" s="2" t="n">
        <v>438</v>
      </c>
      <c r="B439">
        <f>IFERROR(INDEX('2001'!$O$2:$O$489,MATCH($A439,'2001'!$A$2:$A$489,0)),"")</f>
        <v/>
      </c>
      <c r="C439">
        <f>IFERROR(INDEX('2011'!$N$2:$N$490,MATCH($A439,'2011'!$A$2:$A$490,0)),"")</f>
        <v/>
      </c>
      <c r="D439" s="3">
        <f>IFERROR(INDEX('2001'!$Y$2:$Y$489,MATCH($A439,'2001'!$A$2:$A$489,0)),"")</f>
        <v/>
      </c>
      <c r="E439" s="3">
        <f>IFERROR(INDEX('2011'!$X$2:$X$490,MATCH($A439,'2011'!$A$2:$A$490,0)),"")</f>
        <v/>
      </c>
      <c r="F439" s="4">
        <f>IF(OR($D439="",$E439=""),"",$E439-$D439)</f>
        <v/>
      </c>
      <c r="G439">
        <f>IF(OR($B439="",$C439=""),"",$C439-$B439)</f>
        <v/>
      </c>
    </row>
    <row r="440">
      <c r="A440" s="2" t="n">
        <v>439</v>
      </c>
      <c r="B440">
        <f>IFERROR(INDEX('2001'!$O$2:$O$489,MATCH($A440,'2001'!$A$2:$A$489,0)),"")</f>
        <v/>
      </c>
      <c r="C440">
        <f>IFERROR(INDEX('2011'!$N$2:$N$490,MATCH($A440,'2011'!$A$2:$A$490,0)),"")</f>
        <v/>
      </c>
      <c r="D440" s="3">
        <f>IFERROR(INDEX('2001'!$Y$2:$Y$489,MATCH($A440,'2001'!$A$2:$A$489,0)),"")</f>
        <v/>
      </c>
      <c r="E440" s="3">
        <f>IFERROR(INDEX('2011'!$X$2:$X$490,MATCH($A440,'2011'!$A$2:$A$490,0)),"")</f>
        <v/>
      </c>
      <c r="F440" s="4">
        <f>IF(OR($D440="",$E440=""),"",$E440-$D440)</f>
        <v/>
      </c>
      <c r="G440">
        <f>IF(OR($B440="",$C440=""),"",$C440-$B440)</f>
        <v/>
      </c>
    </row>
    <row r="441">
      <c r="A441" s="2" t="n">
        <v>440</v>
      </c>
      <c r="B441">
        <f>IFERROR(INDEX('2001'!$O$2:$O$489,MATCH($A441,'2001'!$A$2:$A$489,0)),"")</f>
        <v/>
      </c>
      <c r="C441">
        <f>IFERROR(INDEX('2011'!$N$2:$N$490,MATCH($A441,'2011'!$A$2:$A$490,0)),"")</f>
        <v/>
      </c>
      <c r="D441" s="3">
        <f>IFERROR(INDEX('2001'!$Y$2:$Y$489,MATCH($A441,'2001'!$A$2:$A$489,0)),"")</f>
        <v/>
      </c>
      <c r="E441" s="3">
        <f>IFERROR(INDEX('2011'!$X$2:$X$490,MATCH($A441,'2011'!$A$2:$A$490,0)),"")</f>
        <v/>
      </c>
      <c r="F441" s="4">
        <f>IF(OR($D441="",$E441=""),"",$E441-$D441)</f>
        <v/>
      </c>
      <c r="G441">
        <f>IF(OR($B441="",$C441=""),"",$C441-$B441)</f>
        <v/>
      </c>
    </row>
    <row r="442">
      <c r="A442" s="2" t="n">
        <v>441</v>
      </c>
      <c r="B442">
        <f>IFERROR(INDEX('2001'!$O$2:$O$489,MATCH($A442,'2001'!$A$2:$A$489,0)),"")</f>
        <v/>
      </c>
      <c r="C442">
        <f>IFERROR(INDEX('2011'!$N$2:$N$490,MATCH($A442,'2011'!$A$2:$A$490,0)),"")</f>
        <v/>
      </c>
      <c r="D442" s="3">
        <f>IFERROR(INDEX('2001'!$Y$2:$Y$489,MATCH($A442,'2001'!$A$2:$A$489,0)),"")</f>
        <v/>
      </c>
      <c r="E442" s="3">
        <f>IFERROR(INDEX('2011'!$X$2:$X$490,MATCH($A442,'2011'!$A$2:$A$490,0)),"")</f>
        <v/>
      </c>
      <c r="F442" s="4">
        <f>IF(OR($D442="",$E442=""),"",$E442-$D442)</f>
        <v/>
      </c>
      <c r="G442">
        <f>IF(OR($B442="",$C442=""),"",$C442-$B442)</f>
        <v/>
      </c>
    </row>
    <row r="443">
      <c r="A443" s="2" t="n">
        <v>442</v>
      </c>
      <c r="B443">
        <f>IFERROR(INDEX('2001'!$O$2:$O$489,MATCH($A443,'2001'!$A$2:$A$489,0)),"")</f>
        <v/>
      </c>
      <c r="C443">
        <f>IFERROR(INDEX('2011'!$N$2:$N$490,MATCH($A443,'2011'!$A$2:$A$490,0)),"")</f>
        <v/>
      </c>
      <c r="D443" s="3">
        <f>IFERROR(INDEX('2001'!$Y$2:$Y$489,MATCH($A443,'2001'!$A$2:$A$489,0)),"")</f>
        <v/>
      </c>
      <c r="E443" s="3">
        <f>IFERROR(INDEX('2011'!$X$2:$X$490,MATCH($A443,'2011'!$A$2:$A$490,0)),"")</f>
        <v/>
      </c>
      <c r="F443" s="4">
        <f>IF(OR($D443="",$E443=""),"",$E443-$D443)</f>
        <v/>
      </c>
      <c r="G443">
        <f>IF(OR($B443="",$C443=""),"",$C443-$B443)</f>
        <v/>
      </c>
    </row>
    <row r="444">
      <c r="A444" s="2" t="n">
        <v>443</v>
      </c>
      <c r="B444">
        <f>IFERROR(INDEX('2001'!$O$2:$O$489,MATCH($A444,'2001'!$A$2:$A$489,0)),"")</f>
        <v/>
      </c>
      <c r="C444">
        <f>IFERROR(INDEX('2011'!$N$2:$N$490,MATCH($A444,'2011'!$A$2:$A$490,0)),"")</f>
        <v/>
      </c>
      <c r="D444" s="3">
        <f>IFERROR(INDEX('2001'!$Y$2:$Y$489,MATCH($A444,'2001'!$A$2:$A$489,0)),"")</f>
        <v/>
      </c>
      <c r="E444" s="3">
        <f>IFERROR(INDEX('2011'!$X$2:$X$490,MATCH($A444,'2011'!$A$2:$A$490,0)),"")</f>
        <v/>
      </c>
      <c r="F444" s="4">
        <f>IF(OR($D444="",$E444=""),"",$E444-$D444)</f>
        <v/>
      </c>
      <c r="G444">
        <f>IF(OR($B444="",$C444=""),"",$C444-$B444)</f>
        <v/>
      </c>
    </row>
    <row r="445">
      <c r="A445" s="2" t="n">
        <v>444</v>
      </c>
      <c r="B445">
        <f>IFERROR(INDEX('2001'!$O$2:$O$489,MATCH($A445,'2001'!$A$2:$A$489,0)),"")</f>
        <v/>
      </c>
      <c r="C445">
        <f>IFERROR(INDEX('2011'!$N$2:$N$490,MATCH($A445,'2011'!$A$2:$A$490,0)),"")</f>
        <v/>
      </c>
      <c r="D445" s="3">
        <f>IFERROR(INDEX('2001'!$Y$2:$Y$489,MATCH($A445,'2001'!$A$2:$A$489,0)),"")</f>
        <v/>
      </c>
      <c r="E445" s="3">
        <f>IFERROR(INDEX('2011'!$X$2:$X$490,MATCH($A445,'2011'!$A$2:$A$490,0)),"")</f>
        <v/>
      </c>
      <c r="F445" s="4">
        <f>IF(OR($D445="",$E445=""),"",$E445-$D445)</f>
        <v/>
      </c>
      <c r="G445">
        <f>IF(OR($B445="",$C445=""),"",$C445-$B445)</f>
        <v/>
      </c>
    </row>
    <row r="446">
      <c r="A446" s="2" t="n">
        <v>445</v>
      </c>
      <c r="B446">
        <f>IFERROR(INDEX('2001'!$O$2:$O$489,MATCH($A446,'2001'!$A$2:$A$489,0)),"")</f>
        <v/>
      </c>
      <c r="C446">
        <f>IFERROR(INDEX('2011'!$N$2:$N$490,MATCH($A446,'2011'!$A$2:$A$490,0)),"")</f>
        <v/>
      </c>
      <c r="D446" s="3">
        <f>IFERROR(INDEX('2001'!$Y$2:$Y$489,MATCH($A446,'2001'!$A$2:$A$489,0)),"")</f>
        <v/>
      </c>
      <c r="E446" s="3">
        <f>IFERROR(INDEX('2011'!$X$2:$X$490,MATCH($A446,'2011'!$A$2:$A$490,0)),"")</f>
        <v/>
      </c>
      <c r="F446" s="4">
        <f>IF(OR($D446="",$E446=""),"",$E446-$D446)</f>
        <v/>
      </c>
      <c r="G446">
        <f>IF(OR($B446="",$C446=""),"",$C446-$B446)</f>
        <v/>
      </c>
    </row>
    <row r="447">
      <c r="A447" s="2" t="n">
        <v>446</v>
      </c>
      <c r="B447">
        <f>IFERROR(INDEX('2001'!$O$2:$O$489,MATCH($A447,'2001'!$A$2:$A$489,0)),"")</f>
        <v/>
      </c>
      <c r="C447">
        <f>IFERROR(INDEX('2011'!$N$2:$N$490,MATCH($A447,'2011'!$A$2:$A$490,0)),"")</f>
        <v/>
      </c>
      <c r="D447" s="3">
        <f>IFERROR(INDEX('2001'!$Y$2:$Y$489,MATCH($A447,'2001'!$A$2:$A$489,0)),"")</f>
        <v/>
      </c>
      <c r="E447" s="3">
        <f>IFERROR(INDEX('2011'!$X$2:$X$490,MATCH($A447,'2011'!$A$2:$A$490,0)),"")</f>
        <v/>
      </c>
      <c r="F447" s="4">
        <f>IF(OR($D447="",$E447=""),"",$E447-$D447)</f>
        <v/>
      </c>
      <c r="G447">
        <f>IF(OR($B447="",$C447=""),"",$C447-$B447)</f>
        <v/>
      </c>
    </row>
    <row r="448">
      <c r="A448" s="2" t="n">
        <v>447</v>
      </c>
      <c r="B448">
        <f>IFERROR(INDEX('2001'!$O$2:$O$489,MATCH($A448,'2001'!$A$2:$A$489,0)),"")</f>
        <v/>
      </c>
      <c r="C448">
        <f>IFERROR(INDEX('2011'!$N$2:$N$490,MATCH($A448,'2011'!$A$2:$A$490,0)),"")</f>
        <v/>
      </c>
      <c r="D448" s="3">
        <f>IFERROR(INDEX('2001'!$Y$2:$Y$489,MATCH($A448,'2001'!$A$2:$A$489,0)),"")</f>
        <v/>
      </c>
      <c r="E448" s="3">
        <f>IFERROR(INDEX('2011'!$X$2:$X$490,MATCH($A448,'2011'!$A$2:$A$490,0)),"")</f>
        <v/>
      </c>
      <c r="F448" s="4">
        <f>IF(OR($D448="",$E448=""),"",$E448-$D448)</f>
        <v/>
      </c>
      <c r="G448">
        <f>IF(OR($B448="",$C448=""),"",$C448-$B448)</f>
        <v/>
      </c>
    </row>
    <row r="449">
      <c r="A449" s="2" t="n">
        <v>448</v>
      </c>
      <c r="B449">
        <f>IFERROR(INDEX('2001'!$O$2:$O$489,MATCH($A449,'2001'!$A$2:$A$489,0)),"")</f>
        <v/>
      </c>
      <c r="C449">
        <f>IFERROR(INDEX('2011'!$N$2:$N$490,MATCH($A449,'2011'!$A$2:$A$490,0)),"")</f>
        <v/>
      </c>
      <c r="D449" s="3">
        <f>IFERROR(INDEX('2001'!$Y$2:$Y$489,MATCH($A449,'2001'!$A$2:$A$489,0)),"")</f>
        <v/>
      </c>
      <c r="E449" s="3">
        <f>IFERROR(INDEX('2011'!$X$2:$X$490,MATCH($A449,'2011'!$A$2:$A$490,0)),"")</f>
        <v/>
      </c>
      <c r="F449" s="4">
        <f>IF(OR($D449="",$E449=""),"",$E449-$D449)</f>
        <v/>
      </c>
      <c r="G449">
        <f>IF(OR($B449="",$C449=""),"",$C449-$B449)</f>
        <v/>
      </c>
    </row>
    <row r="450">
      <c r="A450" s="2" t="n">
        <v>449</v>
      </c>
      <c r="B450">
        <f>IFERROR(INDEX('2001'!$O$2:$O$489,MATCH($A450,'2001'!$A$2:$A$489,0)),"")</f>
        <v/>
      </c>
      <c r="C450">
        <f>IFERROR(INDEX('2011'!$N$2:$N$490,MATCH($A450,'2011'!$A$2:$A$490,0)),"")</f>
        <v/>
      </c>
      <c r="D450" s="3">
        <f>IFERROR(INDEX('2001'!$Y$2:$Y$489,MATCH($A450,'2001'!$A$2:$A$489,0)),"")</f>
        <v/>
      </c>
      <c r="E450" s="3">
        <f>IFERROR(INDEX('2011'!$X$2:$X$490,MATCH($A450,'2011'!$A$2:$A$490,0)),"")</f>
        <v/>
      </c>
      <c r="F450" s="4">
        <f>IF(OR($D450="",$E450=""),"",$E450-$D450)</f>
        <v/>
      </c>
      <c r="G450">
        <f>IF(OR($B450="",$C450=""),"",$C450-$B450)</f>
        <v/>
      </c>
    </row>
    <row r="451">
      <c r="A451" s="2" t="n">
        <v>450</v>
      </c>
      <c r="B451">
        <f>IFERROR(INDEX('2001'!$O$2:$O$489,MATCH($A451,'2001'!$A$2:$A$489,0)),"")</f>
        <v/>
      </c>
      <c r="C451">
        <f>IFERROR(INDEX('2011'!$N$2:$N$490,MATCH($A451,'2011'!$A$2:$A$490,0)),"")</f>
        <v/>
      </c>
      <c r="D451" s="3">
        <f>IFERROR(INDEX('2001'!$Y$2:$Y$489,MATCH($A451,'2001'!$A$2:$A$489,0)),"")</f>
        <v/>
      </c>
      <c r="E451" s="3">
        <f>IFERROR(INDEX('2011'!$X$2:$X$490,MATCH($A451,'2011'!$A$2:$A$490,0)),"")</f>
        <v/>
      </c>
      <c r="F451" s="4">
        <f>IF(OR($D451="",$E451=""),"",$E451-$D451)</f>
        <v/>
      </c>
      <c r="G451">
        <f>IF(OR($B451="",$C451=""),"",$C451-$B451)</f>
        <v/>
      </c>
    </row>
    <row r="452">
      <c r="A452" s="2" t="n">
        <v>451</v>
      </c>
      <c r="B452">
        <f>IFERROR(INDEX('2001'!$O$2:$O$489,MATCH($A452,'2001'!$A$2:$A$489,0)),"")</f>
        <v/>
      </c>
      <c r="C452">
        <f>IFERROR(INDEX('2011'!$N$2:$N$490,MATCH($A452,'2011'!$A$2:$A$490,0)),"")</f>
        <v/>
      </c>
      <c r="D452" s="3">
        <f>IFERROR(INDEX('2001'!$Y$2:$Y$489,MATCH($A452,'2001'!$A$2:$A$489,0)),"")</f>
        <v/>
      </c>
      <c r="E452" s="3">
        <f>IFERROR(INDEX('2011'!$X$2:$X$490,MATCH($A452,'2011'!$A$2:$A$490,0)),"")</f>
        <v/>
      </c>
      <c r="F452" s="4">
        <f>IF(OR($D452="",$E452=""),"",$E452-$D452)</f>
        <v/>
      </c>
      <c r="G452">
        <f>IF(OR($B452="",$C452=""),"",$C452-$B452)</f>
        <v/>
      </c>
    </row>
    <row r="453">
      <c r="A453" s="2" t="n">
        <v>452</v>
      </c>
      <c r="B453">
        <f>IFERROR(INDEX('2001'!$O$2:$O$489,MATCH($A453,'2001'!$A$2:$A$489,0)),"")</f>
        <v/>
      </c>
      <c r="C453">
        <f>IFERROR(INDEX('2011'!$N$2:$N$490,MATCH($A453,'2011'!$A$2:$A$490,0)),"")</f>
        <v/>
      </c>
      <c r="D453" s="3">
        <f>IFERROR(INDEX('2001'!$Y$2:$Y$489,MATCH($A453,'2001'!$A$2:$A$489,0)),"")</f>
        <v/>
      </c>
      <c r="E453" s="3">
        <f>IFERROR(INDEX('2011'!$X$2:$X$490,MATCH($A453,'2011'!$A$2:$A$490,0)),"")</f>
        <v/>
      </c>
      <c r="F453" s="4">
        <f>IF(OR($D453="",$E453=""),"",$E453-$D453)</f>
        <v/>
      </c>
      <c r="G453">
        <f>IF(OR($B453="",$C453=""),"",$C453-$B453)</f>
        <v/>
      </c>
    </row>
    <row r="454">
      <c r="A454" s="2" t="n">
        <v>453</v>
      </c>
      <c r="B454">
        <f>IFERROR(INDEX('2001'!$O$2:$O$489,MATCH($A454,'2001'!$A$2:$A$489,0)),"")</f>
        <v/>
      </c>
      <c r="C454">
        <f>IFERROR(INDEX('2011'!$N$2:$N$490,MATCH($A454,'2011'!$A$2:$A$490,0)),"")</f>
        <v/>
      </c>
      <c r="D454" s="3">
        <f>IFERROR(INDEX('2001'!$Y$2:$Y$489,MATCH($A454,'2001'!$A$2:$A$489,0)),"")</f>
        <v/>
      </c>
      <c r="E454" s="3">
        <f>IFERROR(INDEX('2011'!$X$2:$X$490,MATCH($A454,'2011'!$A$2:$A$490,0)),"")</f>
        <v/>
      </c>
      <c r="F454" s="4">
        <f>IF(OR($D454="",$E454=""),"",$E454-$D454)</f>
        <v/>
      </c>
      <c r="G454">
        <f>IF(OR($B454="",$C454=""),"",$C454-$B454)</f>
        <v/>
      </c>
    </row>
    <row r="455">
      <c r="A455" s="2" t="n">
        <v>454</v>
      </c>
      <c r="B455">
        <f>IFERROR(INDEX('2001'!$O$2:$O$489,MATCH($A455,'2001'!$A$2:$A$489,0)),"")</f>
        <v/>
      </c>
      <c r="C455">
        <f>IFERROR(INDEX('2011'!$N$2:$N$490,MATCH($A455,'2011'!$A$2:$A$490,0)),"")</f>
        <v/>
      </c>
      <c r="D455" s="3">
        <f>IFERROR(INDEX('2001'!$Y$2:$Y$489,MATCH($A455,'2001'!$A$2:$A$489,0)),"")</f>
        <v/>
      </c>
      <c r="E455" s="3">
        <f>IFERROR(INDEX('2011'!$X$2:$X$490,MATCH($A455,'2011'!$A$2:$A$490,0)),"")</f>
        <v/>
      </c>
      <c r="F455" s="4">
        <f>IF(OR($D455="",$E455=""),"",$E455-$D455)</f>
        <v/>
      </c>
      <c r="G455">
        <f>IF(OR($B455="",$C455=""),"",$C455-$B455)</f>
        <v/>
      </c>
    </row>
    <row r="456">
      <c r="A456" s="2" t="n">
        <v>455</v>
      </c>
      <c r="B456">
        <f>IFERROR(INDEX('2001'!$O$2:$O$489,MATCH($A456,'2001'!$A$2:$A$489,0)),"")</f>
        <v/>
      </c>
      <c r="C456">
        <f>IFERROR(INDEX('2011'!$N$2:$N$490,MATCH($A456,'2011'!$A$2:$A$490,0)),"")</f>
        <v/>
      </c>
      <c r="D456" s="3">
        <f>IFERROR(INDEX('2001'!$Y$2:$Y$489,MATCH($A456,'2001'!$A$2:$A$489,0)),"")</f>
        <v/>
      </c>
      <c r="E456" s="3">
        <f>IFERROR(INDEX('2011'!$X$2:$X$490,MATCH($A456,'2011'!$A$2:$A$490,0)),"")</f>
        <v/>
      </c>
      <c r="F456" s="4">
        <f>IF(OR($D456="",$E456=""),"",$E456-$D456)</f>
        <v/>
      </c>
      <c r="G456">
        <f>IF(OR($B456="",$C456=""),"",$C456-$B456)</f>
        <v/>
      </c>
    </row>
    <row r="457">
      <c r="A457" s="2" t="n">
        <v>456</v>
      </c>
      <c r="B457">
        <f>IFERROR(INDEX('2001'!$O$2:$O$489,MATCH($A457,'2001'!$A$2:$A$489,0)),"")</f>
        <v/>
      </c>
      <c r="C457">
        <f>IFERROR(INDEX('2011'!$N$2:$N$490,MATCH($A457,'2011'!$A$2:$A$490,0)),"")</f>
        <v/>
      </c>
      <c r="D457" s="3">
        <f>IFERROR(INDEX('2001'!$Y$2:$Y$489,MATCH($A457,'2001'!$A$2:$A$489,0)),"")</f>
        <v/>
      </c>
      <c r="E457" s="3">
        <f>IFERROR(INDEX('2011'!$X$2:$X$490,MATCH($A457,'2011'!$A$2:$A$490,0)),"")</f>
        <v/>
      </c>
      <c r="F457" s="4">
        <f>IF(OR($D457="",$E457=""),"",$E457-$D457)</f>
        <v/>
      </c>
      <c r="G457">
        <f>IF(OR($B457="",$C457=""),"",$C457-$B457)</f>
        <v/>
      </c>
    </row>
    <row r="458">
      <c r="A458" s="2" t="n">
        <v>457</v>
      </c>
      <c r="B458">
        <f>IFERROR(INDEX('2001'!$O$2:$O$489,MATCH($A458,'2001'!$A$2:$A$489,0)),"")</f>
        <v/>
      </c>
      <c r="C458">
        <f>IFERROR(INDEX('2011'!$N$2:$N$490,MATCH($A458,'2011'!$A$2:$A$490,0)),"")</f>
        <v/>
      </c>
      <c r="D458" s="3">
        <f>IFERROR(INDEX('2001'!$Y$2:$Y$489,MATCH($A458,'2001'!$A$2:$A$489,0)),"")</f>
        <v/>
      </c>
      <c r="E458" s="3">
        <f>IFERROR(INDEX('2011'!$X$2:$X$490,MATCH($A458,'2011'!$A$2:$A$490,0)),"")</f>
        <v/>
      </c>
      <c r="F458" s="4">
        <f>IF(OR($D458="",$E458=""),"",$E458-$D458)</f>
        <v/>
      </c>
      <c r="G458">
        <f>IF(OR($B458="",$C458=""),"",$C458-$B458)</f>
        <v/>
      </c>
    </row>
    <row r="459">
      <c r="A459" s="2" t="n">
        <v>458</v>
      </c>
      <c r="B459">
        <f>IFERROR(INDEX('2001'!$O$2:$O$489,MATCH($A459,'2001'!$A$2:$A$489,0)),"")</f>
        <v/>
      </c>
      <c r="C459">
        <f>IFERROR(INDEX('2011'!$N$2:$N$490,MATCH($A459,'2011'!$A$2:$A$490,0)),"")</f>
        <v/>
      </c>
      <c r="D459" s="3">
        <f>IFERROR(INDEX('2001'!$Y$2:$Y$489,MATCH($A459,'2001'!$A$2:$A$489,0)),"")</f>
        <v/>
      </c>
      <c r="E459" s="3">
        <f>IFERROR(INDEX('2011'!$X$2:$X$490,MATCH($A459,'2011'!$A$2:$A$490,0)),"")</f>
        <v/>
      </c>
      <c r="F459" s="4">
        <f>IF(OR($D459="",$E459=""),"",$E459-$D459)</f>
        <v/>
      </c>
      <c r="G459">
        <f>IF(OR($B459="",$C459=""),"",$C459-$B459)</f>
        <v/>
      </c>
    </row>
    <row r="460">
      <c r="A460" s="2" t="n">
        <v>459</v>
      </c>
      <c r="B460">
        <f>IFERROR(INDEX('2001'!$O$2:$O$489,MATCH($A460,'2001'!$A$2:$A$489,0)),"")</f>
        <v/>
      </c>
      <c r="C460">
        <f>IFERROR(INDEX('2011'!$N$2:$N$490,MATCH($A460,'2011'!$A$2:$A$490,0)),"")</f>
        <v/>
      </c>
      <c r="D460" s="3">
        <f>IFERROR(INDEX('2001'!$Y$2:$Y$489,MATCH($A460,'2001'!$A$2:$A$489,0)),"")</f>
        <v/>
      </c>
      <c r="E460" s="3">
        <f>IFERROR(INDEX('2011'!$X$2:$X$490,MATCH($A460,'2011'!$A$2:$A$490,0)),"")</f>
        <v/>
      </c>
      <c r="F460" s="4">
        <f>IF(OR($D460="",$E460=""),"",$E460-$D460)</f>
        <v/>
      </c>
      <c r="G460">
        <f>IF(OR($B460="",$C460=""),"",$C460-$B460)</f>
        <v/>
      </c>
    </row>
    <row r="461">
      <c r="A461" s="2" t="n">
        <v>460</v>
      </c>
      <c r="B461">
        <f>IFERROR(INDEX('2001'!$O$2:$O$489,MATCH($A461,'2001'!$A$2:$A$489,0)),"")</f>
        <v/>
      </c>
      <c r="C461">
        <f>IFERROR(INDEX('2011'!$N$2:$N$490,MATCH($A461,'2011'!$A$2:$A$490,0)),"")</f>
        <v/>
      </c>
      <c r="D461" s="3">
        <f>IFERROR(INDEX('2001'!$Y$2:$Y$489,MATCH($A461,'2001'!$A$2:$A$489,0)),"")</f>
        <v/>
      </c>
      <c r="E461" s="3">
        <f>IFERROR(INDEX('2011'!$X$2:$X$490,MATCH($A461,'2011'!$A$2:$A$490,0)),"")</f>
        <v/>
      </c>
      <c r="F461" s="4">
        <f>IF(OR($D461="",$E461=""),"",$E461-$D461)</f>
        <v/>
      </c>
      <c r="G461">
        <f>IF(OR($B461="",$C461=""),"",$C461-$B461)</f>
        <v/>
      </c>
    </row>
    <row r="462">
      <c r="A462" s="2" t="n">
        <v>461</v>
      </c>
      <c r="B462">
        <f>IFERROR(INDEX('2001'!$O$2:$O$489,MATCH($A462,'2001'!$A$2:$A$489,0)),"")</f>
        <v/>
      </c>
      <c r="C462">
        <f>IFERROR(INDEX('2011'!$N$2:$N$490,MATCH($A462,'2011'!$A$2:$A$490,0)),"")</f>
        <v/>
      </c>
      <c r="D462" s="3">
        <f>IFERROR(INDEX('2001'!$Y$2:$Y$489,MATCH($A462,'2001'!$A$2:$A$489,0)),"")</f>
        <v/>
      </c>
      <c r="E462" s="3">
        <f>IFERROR(INDEX('2011'!$X$2:$X$490,MATCH($A462,'2011'!$A$2:$A$490,0)),"")</f>
        <v/>
      </c>
      <c r="F462" s="4">
        <f>IF(OR($D462="",$E462=""),"",$E462-$D462)</f>
        <v/>
      </c>
      <c r="G462">
        <f>IF(OR($B462="",$C462=""),"",$C462-$B462)</f>
        <v/>
      </c>
    </row>
    <row r="463">
      <c r="A463" s="2" t="n">
        <v>462</v>
      </c>
      <c r="B463">
        <f>IFERROR(INDEX('2001'!$O$2:$O$489,MATCH($A463,'2001'!$A$2:$A$489,0)),"")</f>
        <v/>
      </c>
      <c r="C463">
        <f>IFERROR(INDEX('2011'!$N$2:$N$490,MATCH($A463,'2011'!$A$2:$A$490,0)),"")</f>
        <v/>
      </c>
      <c r="D463" s="3">
        <f>IFERROR(INDEX('2001'!$Y$2:$Y$489,MATCH($A463,'2001'!$A$2:$A$489,0)),"")</f>
        <v/>
      </c>
      <c r="E463" s="3">
        <f>IFERROR(INDEX('2011'!$X$2:$X$490,MATCH($A463,'2011'!$A$2:$A$490,0)),"")</f>
        <v/>
      </c>
      <c r="F463" s="4">
        <f>IF(OR($D463="",$E463=""),"",$E463-$D463)</f>
        <v/>
      </c>
      <c r="G463">
        <f>IF(OR($B463="",$C463=""),"",$C463-$B463)</f>
        <v/>
      </c>
    </row>
    <row r="464">
      <c r="A464" s="2" t="n">
        <v>463</v>
      </c>
      <c r="B464">
        <f>IFERROR(INDEX('2001'!$O$2:$O$489,MATCH($A464,'2001'!$A$2:$A$489,0)),"")</f>
        <v/>
      </c>
      <c r="C464">
        <f>IFERROR(INDEX('2011'!$N$2:$N$490,MATCH($A464,'2011'!$A$2:$A$490,0)),"")</f>
        <v/>
      </c>
      <c r="D464" s="3">
        <f>IFERROR(INDEX('2001'!$Y$2:$Y$489,MATCH($A464,'2001'!$A$2:$A$489,0)),"")</f>
        <v/>
      </c>
      <c r="E464" s="3">
        <f>IFERROR(INDEX('2011'!$X$2:$X$490,MATCH($A464,'2011'!$A$2:$A$490,0)),"")</f>
        <v/>
      </c>
      <c r="F464" s="4">
        <f>IF(OR($D464="",$E464=""),"",$E464-$D464)</f>
        <v/>
      </c>
      <c r="G464">
        <f>IF(OR($B464="",$C464=""),"",$C464-$B464)</f>
        <v/>
      </c>
    </row>
    <row r="465">
      <c r="A465" s="2" t="n">
        <v>464</v>
      </c>
      <c r="B465">
        <f>IFERROR(INDEX('2001'!$O$2:$O$489,MATCH($A465,'2001'!$A$2:$A$489,0)),"")</f>
        <v/>
      </c>
      <c r="C465">
        <f>IFERROR(INDEX('2011'!$N$2:$N$490,MATCH($A465,'2011'!$A$2:$A$490,0)),"")</f>
        <v/>
      </c>
      <c r="D465" s="3">
        <f>IFERROR(INDEX('2001'!$Y$2:$Y$489,MATCH($A465,'2001'!$A$2:$A$489,0)),"")</f>
        <v/>
      </c>
      <c r="E465" s="3">
        <f>IFERROR(INDEX('2011'!$X$2:$X$490,MATCH($A465,'2011'!$A$2:$A$490,0)),"")</f>
        <v/>
      </c>
      <c r="F465" s="4">
        <f>IF(OR($D465="",$E465=""),"",$E465-$D465)</f>
        <v/>
      </c>
      <c r="G465">
        <f>IF(OR($B465="",$C465=""),"",$C465-$B465)</f>
        <v/>
      </c>
    </row>
    <row r="466">
      <c r="A466" s="2" t="n">
        <v>465</v>
      </c>
      <c r="B466">
        <f>IFERROR(INDEX('2001'!$O$2:$O$489,MATCH($A466,'2001'!$A$2:$A$489,0)),"")</f>
        <v/>
      </c>
      <c r="C466">
        <f>IFERROR(INDEX('2011'!$N$2:$N$490,MATCH($A466,'2011'!$A$2:$A$490,0)),"")</f>
        <v/>
      </c>
      <c r="D466" s="3">
        <f>IFERROR(INDEX('2001'!$Y$2:$Y$489,MATCH($A466,'2001'!$A$2:$A$489,0)),"")</f>
        <v/>
      </c>
      <c r="E466" s="3">
        <f>IFERROR(INDEX('2011'!$X$2:$X$490,MATCH($A466,'2011'!$A$2:$A$490,0)),"")</f>
        <v/>
      </c>
      <c r="F466" s="4">
        <f>IF(OR($D466="",$E466=""),"",$E466-$D466)</f>
        <v/>
      </c>
      <c r="G466">
        <f>IF(OR($B466="",$C466=""),"",$C466-$B466)</f>
        <v/>
      </c>
    </row>
    <row r="467">
      <c r="A467" s="2" t="n">
        <v>466</v>
      </c>
      <c r="B467">
        <f>IFERROR(INDEX('2001'!$O$2:$O$489,MATCH($A467,'2001'!$A$2:$A$489,0)),"")</f>
        <v/>
      </c>
      <c r="C467">
        <f>IFERROR(INDEX('2011'!$N$2:$N$490,MATCH($A467,'2011'!$A$2:$A$490,0)),"")</f>
        <v/>
      </c>
      <c r="D467" s="3">
        <f>IFERROR(INDEX('2001'!$Y$2:$Y$489,MATCH($A467,'2001'!$A$2:$A$489,0)),"")</f>
        <v/>
      </c>
      <c r="E467" s="3">
        <f>IFERROR(INDEX('2011'!$X$2:$X$490,MATCH($A467,'2011'!$A$2:$A$490,0)),"")</f>
        <v/>
      </c>
      <c r="F467" s="4">
        <f>IF(OR($D467="",$E467=""),"",$E467-$D467)</f>
        <v/>
      </c>
      <c r="G467">
        <f>IF(OR($B467="",$C467=""),"",$C467-$B467)</f>
        <v/>
      </c>
    </row>
    <row r="468">
      <c r="A468" s="2" t="n">
        <v>467</v>
      </c>
      <c r="B468">
        <f>IFERROR(INDEX('2001'!$O$2:$O$489,MATCH($A468,'2001'!$A$2:$A$489,0)),"")</f>
        <v/>
      </c>
      <c r="C468">
        <f>IFERROR(INDEX('2011'!$N$2:$N$490,MATCH($A468,'2011'!$A$2:$A$490,0)),"")</f>
        <v/>
      </c>
      <c r="D468" s="3">
        <f>IFERROR(INDEX('2001'!$Y$2:$Y$489,MATCH($A468,'2001'!$A$2:$A$489,0)),"")</f>
        <v/>
      </c>
      <c r="E468" s="3">
        <f>IFERROR(INDEX('2011'!$X$2:$X$490,MATCH($A468,'2011'!$A$2:$A$490,0)),"")</f>
        <v/>
      </c>
      <c r="F468" s="4">
        <f>IF(OR($D468="",$E468=""),"",$E468-$D468)</f>
        <v/>
      </c>
      <c r="G468">
        <f>IF(OR($B468="",$C468=""),"",$C468-$B468)</f>
        <v/>
      </c>
    </row>
    <row r="469">
      <c r="A469" s="2" t="n">
        <v>468</v>
      </c>
      <c r="B469">
        <f>IFERROR(INDEX('2001'!$O$2:$O$489,MATCH($A469,'2001'!$A$2:$A$489,0)),"")</f>
        <v/>
      </c>
      <c r="C469">
        <f>IFERROR(INDEX('2011'!$N$2:$N$490,MATCH($A469,'2011'!$A$2:$A$490,0)),"")</f>
        <v/>
      </c>
      <c r="D469" s="3">
        <f>IFERROR(INDEX('2001'!$Y$2:$Y$489,MATCH($A469,'2001'!$A$2:$A$489,0)),"")</f>
        <v/>
      </c>
      <c r="E469" s="3">
        <f>IFERROR(INDEX('2011'!$X$2:$X$490,MATCH($A469,'2011'!$A$2:$A$490,0)),"")</f>
        <v/>
      </c>
      <c r="F469" s="4">
        <f>IF(OR($D469="",$E469=""),"",$E469-$D469)</f>
        <v/>
      </c>
      <c r="G469">
        <f>IF(OR($B469="",$C469=""),"",$C469-$B469)</f>
        <v/>
      </c>
    </row>
    <row r="470">
      <c r="A470" s="2" t="n">
        <v>469</v>
      </c>
      <c r="B470">
        <f>IFERROR(INDEX('2001'!$O$2:$O$489,MATCH($A470,'2001'!$A$2:$A$489,0)),"")</f>
        <v/>
      </c>
      <c r="C470">
        <f>IFERROR(INDEX('2011'!$N$2:$N$490,MATCH($A470,'2011'!$A$2:$A$490,0)),"")</f>
        <v/>
      </c>
      <c r="D470" s="3">
        <f>IFERROR(INDEX('2001'!$Y$2:$Y$489,MATCH($A470,'2001'!$A$2:$A$489,0)),"")</f>
        <v/>
      </c>
      <c r="E470" s="3">
        <f>IFERROR(INDEX('2011'!$X$2:$X$490,MATCH($A470,'2011'!$A$2:$A$490,0)),"")</f>
        <v/>
      </c>
      <c r="F470" s="4">
        <f>IF(OR($D470="",$E470=""),"",$E470-$D470)</f>
        <v/>
      </c>
      <c r="G470">
        <f>IF(OR($B470="",$C470=""),"",$C470-$B470)</f>
        <v/>
      </c>
    </row>
    <row r="471">
      <c r="A471" s="2" t="n">
        <v>470</v>
      </c>
      <c r="B471">
        <f>IFERROR(INDEX('2001'!$O$2:$O$489,MATCH($A471,'2001'!$A$2:$A$489,0)),"")</f>
        <v/>
      </c>
      <c r="C471">
        <f>IFERROR(INDEX('2011'!$N$2:$N$490,MATCH($A471,'2011'!$A$2:$A$490,0)),"")</f>
        <v/>
      </c>
      <c r="D471" s="3">
        <f>IFERROR(INDEX('2001'!$Y$2:$Y$489,MATCH($A471,'2001'!$A$2:$A$489,0)),"")</f>
        <v/>
      </c>
      <c r="E471" s="3">
        <f>IFERROR(INDEX('2011'!$X$2:$X$490,MATCH($A471,'2011'!$A$2:$A$490,0)),"")</f>
        <v/>
      </c>
      <c r="F471" s="4">
        <f>IF(OR($D471="",$E471=""),"",$E471-$D471)</f>
        <v/>
      </c>
      <c r="G471">
        <f>IF(OR($B471="",$C471=""),"",$C471-$B471)</f>
        <v/>
      </c>
    </row>
    <row r="472">
      <c r="A472" s="2" t="n">
        <v>471</v>
      </c>
      <c r="B472">
        <f>IFERROR(INDEX('2001'!$O$2:$O$489,MATCH($A472,'2001'!$A$2:$A$489,0)),"")</f>
        <v/>
      </c>
      <c r="C472">
        <f>IFERROR(INDEX('2011'!$N$2:$N$490,MATCH($A472,'2011'!$A$2:$A$490,0)),"")</f>
        <v/>
      </c>
      <c r="D472" s="3">
        <f>IFERROR(INDEX('2001'!$Y$2:$Y$489,MATCH($A472,'2001'!$A$2:$A$489,0)),"")</f>
        <v/>
      </c>
      <c r="E472" s="3">
        <f>IFERROR(INDEX('2011'!$X$2:$X$490,MATCH($A472,'2011'!$A$2:$A$490,0)),"")</f>
        <v/>
      </c>
      <c r="F472" s="4">
        <f>IF(OR($D472="",$E472=""),"",$E472-$D472)</f>
        <v/>
      </c>
      <c r="G472">
        <f>IF(OR($B472="",$C472=""),"",$C472-$B472)</f>
        <v/>
      </c>
    </row>
    <row r="473">
      <c r="A473" s="2" t="n">
        <v>472</v>
      </c>
      <c r="B473">
        <f>IFERROR(INDEX('2001'!$O$2:$O$489,MATCH($A473,'2001'!$A$2:$A$489,0)),"")</f>
        <v/>
      </c>
      <c r="C473">
        <f>IFERROR(INDEX('2011'!$N$2:$N$490,MATCH($A473,'2011'!$A$2:$A$490,0)),"")</f>
        <v/>
      </c>
      <c r="D473" s="3">
        <f>IFERROR(INDEX('2001'!$Y$2:$Y$489,MATCH($A473,'2001'!$A$2:$A$489,0)),"")</f>
        <v/>
      </c>
      <c r="E473" s="3">
        <f>IFERROR(INDEX('2011'!$X$2:$X$490,MATCH($A473,'2011'!$A$2:$A$490,0)),"")</f>
        <v/>
      </c>
      <c r="F473" s="4">
        <f>IF(OR($D473="",$E473=""),"",$E473-$D473)</f>
        <v/>
      </c>
      <c r="G473">
        <f>IF(OR($B473="",$C473=""),"",$C473-$B473)</f>
        <v/>
      </c>
    </row>
    <row r="474">
      <c r="A474" s="2" t="n">
        <v>473</v>
      </c>
      <c r="B474">
        <f>IFERROR(INDEX('2001'!$O$2:$O$489,MATCH($A474,'2001'!$A$2:$A$489,0)),"")</f>
        <v/>
      </c>
      <c r="C474">
        <f>IFERROR(INDEX('2011'!$N$2:$N$490,MATCH($A474,'2011'!$A$2:$A$490,0)),"")</f>
        <v/>
      </c>
      <c r="D474" s="3">
        <f>IFERROR(INDEX('2001'!$Y$2:$Y$489,MATCH($A474,'2001'!$A$2:$A$489,0)),"")</f>
        <v/>
      </c>
      <c r="E474" s="3">
        <f>IFERROR(INDEX('2011'!$X$2:$X$490,MATCH($A474,'2011'!$A$2:$A$490,0)),"")</f>
        <v/>
      </c>
      <c r="F474" s="4">
        <f>IF(OR($D474="",$E474=""),"",$E474-$D474)</f>
        <v/>
      </c>
      <c r="G474">
        <f>IF(OR($B474="",$C474=""),"",$C474-$B474)</f>
        <v/>
      </c>
    </row>
    <row r="475">
      <c r="A475" s="2" t="n">
        <v>474</v>
      </c>
      <c r="B475">
        <f>IFERROR(INDEX('2001'!$O$2:$O$489,MATCH($A475,'2001'!$A$2:$A$489,0)),"")</f>
        <v/>
      </c>
      <c r="C475">
        <f>IFERROR(INDEX('2011'!$N$2:$N$490,MATCH($A475,'2011'!$A$2:$A$490,0)),"")</f>
        <v/>
      </c>
      <c r="D475" s="3">
        <f>IFERROR(INDEX('2001'!$Y$2:$Y$489,MATCH($A475,'2001'!$A$2:$A$489,0)),"")</f>
        <v/>
      </c>
      <c r="E475" s="3">
        <f>IFERROR(INDEX('2011'!$X$2:$X$490,MATCH($A475,'2011'!$A$2:$A$490,0)),"")</f>
        <v/>
      </c>
      <c r="F475" s="4">
        <f>IF(OR($D475="",$E475=""),"",$E475-$D475)</f>
        <v/>
      </c>
      <c r="G475">
        <f>IF(OR($B475="",$C475=""),"",$C475-$B475)</f>
        <v/>
      </c>
    </row>
    <row r="476">
      <c r="A476" s="2" t="n">
        <v>475</v>
      </c>
      <c r="B476">
        <f>IFERROR(INDEX('2001'!$O$2:$O$489,MATCH($A476,'2001'!$A$2:$A$489,0)),"")</f>
        <v/>
      </c>
      <c r="C476">
        <f>IFERROR(INDEX('2011'!$N$2:$N$490,MATCH($A476,'2011'!$A$2:$A$490,0)),"")</f>
        <v/>
      </c>
      <c r="D476" s="3">
        <f>IFERROR(INDEX('2001'!$Y$2:$Y$489,MATCH($A476,'2001'!$A$2:$A$489,0)),"")</f>
        <v/>
      </c>
      <c r="E476" s="3">
        <f>IFERROR(INDEX('2011'!$X$2:$X$490,MATCH($A476,'2011'!$A$2:$A$490,0)),"")</f>
        <v/>
      </c>
      <c r="F476" s="4">
        <f>IF(OR($D476="",$E476=""),"",$E476-$D476)</f>
        <v/>
      </c>
      <c r="G476">
        <f>IF(OR($B476="",$C476=""),"",$C476-$B476)</f>
        <v/>
      </c>
    </row>
    <row r="477">
      <c r="A477" s="2" t="n">
        <v>476</v>
      </c>
      <c r="B477">
        <f>IFERROR(INDEX('2001'!$O$2:$O$489,MATCH($A477,'2001'!$A$2:$A$489,0)),"")</f>
        <v/>
      </c>
      <c r="C477">
        <f>IFERROR(INDEX('2011'!$N$2:$N$490,MATCH($A477,'2011'!$A$2:$A$490,0)),"")</f>
        <v/>
      </c>
      <c r="D477" s="3">
        <f>IFERROR(INDEX('2001'!$Y$2:$Y$489,MATCH($A477,'2001'!$A$2:$A$489,0)),"")</f>
        <v/>
      </c>
      <c r="E477" s="3">
        <f>IFERROR(INDEX('2011'!$X$2:$X$490,MATCH($A477,'2011'!$A$2:$A$490,0)),"")</f>
        <v/>
      </c>
      <c r="F477" s="4">
        <f>IF(OR($D477="",$E477=""),"",$E477-$D477)</f>
        <v/>
      </c>
      <c r="G477">
        <f>IF(OR($B477="",$C477=""),"",$C477-$B477)</f>
        <v/>
      </c>
    </row>
    <row r="478">
      <c r="A478" s="2" t="n">
        <v>477</v>
      </c>
      <c r="B478">
        <f>IFERROR(INDEX('2001'!$O$2:$O$489,MATCH($A478,'2001'!$A$2:$A$489,0)),"")</f>
        <v/>
      </c>
      <c r="C478">
        <f>IFERROR(INDEX('2011'!$N$2:$N$490,MATCH($A478,'2011'!$A$2:$A$490,0)),"")</f>
        <v/>
      </c>
      <c r="D478" s="3">
        <f>IFERROR(INDEX('2001'!$Y$2:$Y$489,MATCH($A478,'2001'!$A$2:$A$489,0)),"")</f>
        <v/>
      </c>
      <c r="E478" s="3">
        <f>IFERROR(INDEX('2011'!$X$2:$X$490,MATCH($A478,'2011'!$A$2:$A$490,0)),"")</f>
        <v/>
      </c>
      <c r="F478" s="4">
        <f>IF(OR($D478="",$E478=""),"",$E478-$D478)</f>
        <v/>
      </c>
      <c r="G478">
        <f>IF(OR($B478="",$C478=""),"",$C478-$B478)</f>
        <v/>
      </c>
    </row>
    <row r="479">
      <c r="A479" s="2" t="n">
        <v>478</v>
      </c>
      <c r="B479">
        <f>IFERROR(INDEX('2001'!$O$2:$O$489,MATCH($A479,'2001'!$A$2:$A$489,0)),"")</f>
        <v/>
      </c>
      <c r="C479">
        <f>IFERROR(INDEX('2011'!$N$2:$N$490,MATCH($A479,'2011'!$A$2:$A$490,0)),"")</f>
        <v/>
      </c>
      <c r="D479" s="3">
        <f>IFERROR(INDEX('2001'!$Y$2:$Y$489,MATCH($A479,'2001'!$A$2:$A$489,0)),"")</f>
        <v/>
      </c>
      <c r="E479" s="3">
        <f>IFERROR(INDEX('2011'!$X$2:$X$490,MATCH($A479,'2011'!$A$2:$A$490,0)),"")</f>
        <v/>
      </c>
      <c r="F479" s="4">
        <f>IF(OR($D479="",$E479=""),"",$E479-$D479)</f>
        <v/>
      </c>
      <c r="G479">
        <f>IF(OR($B479="",$C479=""),"",$C479-$B479)</f>
        <v/>
      </c>
    </row>
    <row r="480">
      <c r="A480" s="2" t="n">
        <v>481</v>
      </c>
      <c r="B480">
        <f>IFERROR(INDEX('2001'!$O$2:$O$489,MATCH($A480,'2001'!$A$2:$A$489,0)),"")</f>
        <v/>
      </c>
      <c r="C480">
        <f>IFERROR(INDEX('2011'!$N$2:$N$490,MATCH($A480,'2011'!$A$2:$A$490,0)),"")</f>
        <v/>
      </c>
      <c r="D480" s="3">
        <f>IFERROR(INDEX('2001'!$Y$2:$Y$489,MATCH($A480,'2001'!$A$2:$A$489,0)),"")</f>
        <v/>
      </c>
      <c r="E480" s="3">
        <f>IFERROR(INDEX('2011'!$X$2:$X$490,MATCH($A480,'2011'!$A$2:$A$490,0)),"")</f>
        <v/>
      </c>
      <c r="F480" s="4">
        <f>IF(OR($D480="",$E480=""),"",$E480-$D480)</f>
        <v/>
      </c>
      <c r="G480">
        <f>IF(OR($B480="",$C480=""),"",$C480-$B480)</f>
        <v/>
      </c>
    </row>
    <row r="481">
      <c r="A481" s="2" t="n">
        <v>482</v>
      </c>
      <c r="B481">
        <f>IFERROR(INDEX('2001'!$O$2:$O$489,MATCH($A481,'2001'!$A$2:$A$489,0)),"")</f>
        <v/>
      </c>
      <c r="C481">
        <f>IFERROR(INDEX('2011'!$N$2:$N$490,MATCH($A481,'2011'!$A$2:$A$490,0)),"")</f>
        <v/>
      </c>
      <c r="D481" s="3">
        <f>IFERROR(INDEX('2001'!$Y$2:$Y$489,MATCH($A481,'2001'!$A$2:$A$489,0)),"")</f>
        <v/>
      </c>
      <c r="E481" s="3">
        <f>IFERROR(INDEX('2011'!$X$2:$X$490,MATCH($A481,'2011'!$A$2:$A$490,0)),"")</f>
        <v/>
      </c>
      <c r="F481" s="4">
        <f>IF(OR($D481="",$E481=""),"",$E481-$D481)</f>
        <v/>
      </c>
      <c r="G481">
        <f>IF(OR($B481="",$C481=""),"",$C481-$B481)</f>
        <v/>
      </c>
    </row>
    <row r="482">
      <c r="A482" s="2" t="n">
        <v>483</v>
      </c>
      <c r="B482">
        <f>IFERROR(INDEX('2001'!$O$2:$O$489,MATCH($A482,'2001'!$A$2:$A$489,0)),"")</f>
        <v/>
      </c>
      <c r="C482">
        <f>IFERROR(INDEX('2011'!$N$2:$N$490,MATCH($A482,'2011'!$A$2:$A$490,0)),"")</f>
        <v/>
      </c>
      <c r="D482" s="3">
        <f>IFERROR(INDEX('2001'!$Y$2:$Y$489,MATCH($A482,'2001'!$A$2:$A$489,0)),"")</f>
        <v/>
      </c>
      <c r="E482" s="3">
        <f>IFERROR(INDEX('2011'!$X$2:$X$490,MATCH($A482,'2011'!$A$2:$A$490,0)),"")</f>
        <v/>
      </c>
      <c r="F482" s="4">
        <f>IF(OR($D482="",$E482=""),"",$E482-$D482)</f>
        <v/>
      </c>
      <c r="G482">
        <f>IF(OR($B482="",$C482=""),"",$C482-$B482)</f>
        <v/>
      </c>
    </row>
    <row r="483">
      <c r="A483" s="2" t="n">
        <v>484</v>
      </c>
      <c r="B483">
        <f>IFERROR(INDEX('2001'!$O$2:$O$489,MATCH($A483,'2001'!$A$2:$A$489,0)),"")</f>
        <v/>
      </c>
      <c r="C483">
        <f>IFERROR(INDEX('2011'!$N$2:$N$490,MATCH($A483,'2011'!$A$2:$A$490,0)),"")</f>
        <v/>
      </c>
      <c r="D483" s="3">
        <f>IFERROR(INDEX('2001'!$Y$2:$Y$489,MATCH($A483,'2001'!$A$2:$A$489,0)),"")</f>
        <v/>
      </c>
      <c r="E483" s="3">
        <f>IFERROR(INDEX('2011'!$X$2:$X$490,MATCH($A483,'2011'!$A$2:$A$490,0)),"")</f>
        <v/>
      </c>
      <c r="F483" s="4">
        <f>IF(OR($D483="",$E483=""),"",$E483-$D483)</f>
        <v/>
      </c>
      <c r="G483">
        <f>IF(OR($B483="",$C483=""),"",$C483-$B483)</f>
        <v/>
      </c>
    </row>
    <row r="484">
      <c r="A484" s="2" t="n">
        <v>485</v>
      </c>
      <c r="B484">
        <f>IFERROR(INDEX('2001'!$O$2:$O$489,MATCH($A484,'2001'!$A$2:$A$489,0)),"")</f>
        <v/>
      </c>
      <c r="C484">
        <f>IFERROR(INDEX('2011'!$N$2:$N$490,MATCH($A484,'2011'!$A$2:$A$490,0)),"")</f>
        <v/>
      </c>
      <c r="D484" s="3">
        <f>IFERROR(INDEX('2001'!$Y$2:$Y$489,MATCH($A484,'2001'!$A$2:$A$489,0)),"")</f>
        <v/>
      </c>
      <c r="E484" s="3">
        <f>IFERROR(INDEX('2011'!$X$2:$X$490,MATCH($A484,'2011'!$A$2:$A$490,0)),"")</f>
        <v/>
      </c>
      <c r="F484" s="4">
        <f>IF(OR($D484="",$E484=""),"",$E484-$D484)</f>
        <v/>
      </c>
      <c r="G484">
        <f>IF(OR($B484="",$C484=""),"",$C484-$B484)</f>
        <v/>
      </c>
    </row>
    <row r="485">
      <c r="A485" s="2" t="n">
        <v>486</v>
      </c>
      <c r="B485">
        <f>IFERROR(INDEX('2001'!$O$2:$O$489,MATCH($A485,'2001'!$A$2:$A$489,0)),"")</f>
        <v/>
      </c>
      <c r="C485">
        <f>IFERROR(INDEX('2011'!$N$2:$N$490,MATCH($A485,'2011'!$A$2:$A$490,0)),"")</f>
        <v/>
      </c>
      <c r="D485" s="3">
        <f>IFERROR(INDEX('2001'!$Y$2:$Y$489,MATCH($A485,'2001'!$A$2:$A$489,0)),"")</f>
        <v/>
      </c>
      <c r="E485" s="3">
        <f>IFERROR(INDEX('2011'!$X$2:$X$490,MATCH($A485,'2011'!$A$2:$A$490,0)),"")</f>
        <v/>
      </c>
      <c r="F485" s="4">
        <f>IF(OR($D485="",$E485=""),"",$E485-$D485)</f>
        <v/>
      </c>
      <c r="G485">
        <f>IF(OR($B485="",$C485=""),"",$C485-$B485)</f>
        <v/>
      </c>
    </row>
    <row r="486">
      <c r="A486" s="2" t="n">
        <v>487</v>
      </c>
      <c r="B486">
        <f>IFERROR(INDEX('2001'!$O$2:$O$489,MATCH($A486,'2001'!$A$2:$A$489,0)),"")</f>
        <v/>
      </c>
      <c r="C486">
        <f>IFERROR(INDEX('2011'!$N$2:$N$490,MATCH($A486,'2011'!$A$2:$A$490,0)),"")</f>
        <v/>
      </c>
      <c r="D486" s="3">
        <f>IFERROR(INDEX('2001'!$Y$2:$Y$489,MATCH($A486,'2001'!$A$2:$A$489,0)),"")</f>
        <v/>
      </c>
      <c r="E486" s="3">
        <f>IFERROR(INDEX('2011'!$X$2:$X$490,MATCH($A486,'2011'!$A$2:$A$490,0)),"")</f>
        <v/>
      </c>
      <c r="F486" s="4">
        <f>IF(OR($D486="",$E486=""),"",$E486-$D486)</f>
        <v/>
      </c>
      <c r="G486">
        <f>IF(OR($B486="",$C486=""),"",$C486-$B486)</f>
        <v/>
      </c>
    </row>
    <row r="487">
      <c r="A487" s="2" t="n">
        <v>488</v>
      </c>
      <c r="B487">
        <f>IFERROR(INDEX('2001'!$O$2:$O$489,MATCH($A487,'2001'!$A$2:$A$489,0)),"")</f>
        <v/>
      </c>
      <c r="C487">
        <f>IFERROR(INDEX('2011'!$N$2:$N$490,MATCH($A487,'2011'!$A$2:$A$490,0)),"")</f>
        <v/>
      </c>
      <c r="D487" s="3">
        <f>IFERROR(INDEX('2001'!$Y$2:$Y$489,MATCH($A487,'2001'!$A$2:$A$489,0)),"")</f>
        <v/>
      </c>
      <c r="E487" s="3">
        <f>IFERROR(INDEX('2011'!$X$2:$X$490,MATCH($A487,'2011'!$A$2:$A$490,0)),"")</f>
        <v/>
      </c>
      <c r="F487" s="4">
        <f>IF(OR($D487="",$E487=""),"",$E487-$D487)</f>
        <v/>
      </c>
      <c r="G487">
        <f>IF(OR($B487="",$C487=""),"",$C487-$B487)</f>
        <v/>
      </c>
    </row>
    <row r="488">
      <c r="A488" s="2" t="n">
        <v>489</v>
      </c>
      <c r="B488">
        <f>IFERROR(INDEX('2001'!$O$2:$O$489,MATCH($A488,'2001'!$A$2:$A$489,0)),"")</f>
        <v/>
      </c>
      <c r="C488">
        <f>IFERROR(INDEX('2011'!$N$2:$N$490,MATCH($A488,'2011'!$A$2:$A$490,0)),"")</f>
        <v/>
      </c>
      <c r="D488" s="3">
        <f>IFERROR(INDEX('2001'!$Y$2:$Y$489,MATCH($A488,'2001'!$A$2:$A$489,0)),"")</f>
        <v/>
      </c>
      <c r="E488" s="3">
        <f>IFERROR(INDEX('2011'!$X$2:$X$490,MATCH($A488,'2011'!$A$2:$A$490,0)),"")</f>
        <v/>
      </c>
      <c r="F488" s="4">
        <f>IF(OR($D488="",$E488=""),"",$E488-$D488)</f>
        <v/>
      </c>
      <c r="G488">
        <f>IF(OR($B488="",$C488=""),"",$C488-$B488)</f>
        <v/>
      </c>
    </row>
    <row r="489">
      <c r="A489" s="2" t="n">
        <v>490</v>
      </c>
      <c r="B489">
        <f>IFERROR(INDEX('2001'!$O$2:$O$489,MATCH($A489,'2001'!$A$2:$A$489,0)),"")</f>
        <v/>
      </c>
      <c r="C489">
        <f>IFERROR(INDEX('2011'!$N$2:$N$490,MATCH($A489,'2011'!$A$2:$A$490,0)),"")</f>
        <v/>
      </c>
      <c r="D489" s="3">
        <f>IFERROR(INDEX('2001'!$Y$2:$Y$489,MATCH($A489,'2001'!$A$2:$A$489,0)),"")</f>
        <v/>
      </c>
      <c r="E489" s="3">
        <f>IFERROR(INDEX('2011'!$X$2:$X$490,MATCH($A489,'2011'!$A$2:$A$490,0)),"")</f>
        <v/>
      </c>
      <c r="F489" s="4">
        <f>IF(OR($D489="",$E489=""),"",$E489-$D489)</f>
        <v/>
      </c>
      <c r="G489">
        <f>IF(OR($B489="",$C489=""),"",$C489-$B489)</f>
        <v/>
      </c>
    </row>
    <row r="490">
      <c r="A490" s="2" t="n">
        <v>500</v>
      </c>
      <c r="B490">
        <f>IFERROR(INDEX('2001'!$O$2:$O$489,MATCH($A490,'2001'!$A$2:$A$489,0)),"")</f>
        <v/>
      </c>
      <c r="C490">
        <f>IFERROR(INDEX('2011'!$N$2:$N$490,MATCH($A490,'2011'!$A$2:$A$490,0)),"")</f>
        <v/>
      </c>
      <c r="D490" s="3">
        <f>IFERROR(INDEX('2001'!$Y$2:$Y$489,MATCH($A490,'2001'!$A$2:$A$489,0)),"")</f>
        <v/>
      </c>
      <c r="E490" s="3">
        <f>IFERROR(INDEX('2011'!$X$2:$X$490,MATCH($A490,'2011'!$A$2:$A$490,0)),"")</f>
        <v/>
      </c>
      <c r="F490" s="4">
        <f>IF(OR($D490="",$E490=""),"",$E490-$D490)</f>
        <v/>
      </c>
      <c r="G490">
        <f>IF(OR($B490="",$C490=""),"",$C490-$B490)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2" customWidth="1" min="1" max="1"/>
    <col width="10" customWidth="1" min="2" max="2"/>
  </cols>
  <sheetData>
    <row r="1">
      <c r="A1" s="2" t="inlineStr">
        <is>
          <t>tramo</t>
        </is>
      </c>
      <c r="B1" s="2" t="inlineStr">
        <is>
          <t>peso</t>
        </is>
      </c>
    </row>
    <row r="2">
      <c r="A2" t="inlineStr">
        <is>
          <t>a — los 6 últimos años del censo</t>
        </is>
      </c>
      <c r="B2" s="5" t="n">
        <v>0</v>
      </c>
    </row>
    <row r="3">
      <c r="A3" t="inlineStr">
        <is>
          <t>b — los 5 años previos</t>
        </is>
      </c>
      <c r="B3" s="5" t="n">
        <v>0.33</v>
      </c>
    </row>
    <row r="4">
      <c r="A4" t="inlineStr">
        <is>
          <t>c — los 10 años previos</t>
        </is>
      </c>
      <c r="B4" s="5" t="n">
        <v>0.66</v>
      </c>
    </row>
    <row r="5">
      <c r="A5" t="inlineStr">
        <is>
          <t>d — todo lo anterior</t>
        </is>
      </c>
      <c r="B5" s="5" t="n">
        <v>1</v>
      </c>
    </row>
    <row r="7">
      <c r="A7" s="6" t="inlineStr">
        <is>
          <t>Cambiá cualquiera de los cuatro y se recalculan las hojas 2011, 2001 y Comparación.</t>
        </is>
      </c>
    </row>
    <row r="8">
      <c r="A8" s="6" t="inlineStr">
        <is>
          <t>Los tramos son los mismos en los dos censos, por posición relativa a la fecha del censo.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9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s>
  <sheetData>
    <row r="1">
      <c r="A1" s="1" t="inlineStr">
        <is>
          <t>VUPACI</t>
        </is>
      </c>
      <c r="B1" s="1" t="inlineStr">
        <is>
          <t>n secciones</t>
        </is>
      </c>
      <c r="C1" s="1" t="inlineStr">
        <is>
          <t>2011</t>
        </is>
      </c>
      <c r="D1" s="1" t="inlineStr">
        <is>
          <t>2010</t>
        </is>
      </c>
      <c r="E1" s="1" t="inlineStr">
        <is>
          <t>2009</t>
        </is>
      </c>
      <c r="F1" s="1" t="inlineStr">
        <is>
          <t>2008</t>
        </is>
      </c>
      <c r="G1" s="1" t="inlineStr">
        <is>
          <t>2007</t>
        </is>
      </c>
      <c r="H1" s="1" t="inlineStr">
        <is>
          <t>2006</t>
        </is>
      </c>
      <c r="I1" s="1" t="inlineStr">
        <is>
          <t>2001-2005</t>
        </is>
      </c>
      <c r="J1" s="1" t="inlineStr">
        <is>
          <t>1991-2000</t>
        </is>
      </c>
      <c r="K1" s="1" t="inlineStr">
        <is>
          <t>1981-1990</t>
        </is>
      </c>
      <c r="L1" s="1" t="inlineStr">
        <is>
          <t>1971-1980</t>
        </is>
      </c>
      <c r="M1" s="1" t="inlineStr">
        <is>
          <t>Antes de 1971</t>
        </is>
      </c>
      <c r="N1" s="1" t="inlineStr">
        <is>
          <t>Total INE</t>
        </is>
      </c>
      <c r="O1" s="1" t="inlineStr">
        <is>
          <t>a</t>
        </is>
      </c>
      <c r="P1" s="1" t="inlineStr">
        <is>
          <t>b</t>
        </is>
      </c>
      <c r="Q1" s="1" t="inlineStr">
        <is>
          <t>c</t>
        </is>
      </c>
      <c r="R1" s="1" t="inlineStr">
        <is>
          <t>d</t>
        </is>
      </c>
      <c r="S1" s="1" t="inlineStr">
        <is>
          <t>suma tramos</t>
        </is>
      </c>
      <c r="T1" s="1" t="inlineStr">
        <is>
          <t>p_a</t>
        </is>
      </c>
      <c r="U1" s="1" t="inlineStr">
        <is>
          <t>p_b</t>
        </is>
      </c>
      <c r="V1" s="1" t="inlineStr">
        <is>
          <t>p_c</t>
        </is>
      </c>
      <c r="W1" s="1" t="inlineStr">
        <is>
          <t>p_d</t>
        </is>
      </c>
      <c r="X1" s="1" t="inlineStr">
        <is>
          <t>índice</t>
        </is>
      </c>
    </row>
    <row r="2">
      <c r="A2" s="2" t="n">
        <v>0</v>
      </c>
      <c r="B2" t="n">
        <v>9</v>
      </c>
      <c r="C2" t="n">
        <v>40</v>
      </c>
      <c r="D2" t="n">
        <v>80</v>
      </c>
      <c r="E2" t="n">
        <v>70</v>
      </c>
      <c r="F2" t="n">
        <v>80</v>
      </c>
      <c r="G2" t="n">
        <v>50</v>
      </c>
      <c r="H2" t="n">
        <v>65</v>
      </c>
      <c r="I2" t="n">
        <v>150</v>
      </c>
      <c r="J2" t="n">
        <v>235</v>
      </c>
      <c r="K2" t="n">
        <v>125</v>
      </c>
      <c r="L2" t="n">
        <v>75</v>
      </c>
      <c r="M2" t="n">
        <v>130</v>
      </c>
      <c r="N2" s="6" t="n">
        <v>1100</v>
      </c>
      <c r="O2">
        <f>SUM(C2:H2)</f>
        <v/>
      </c>
      <c r="P2">
        <f>I2</f>
        <v/>
      </c>
      <c r="Q2">
        <f>J2</f>
        <v/>
      </c>
      <c r="R2">
        <f>SUM(K2:M2)</f>
        <v/>
      </c>
      <c r="S2">
        <f>SUM(O2:R2)</f>
        <v/>
      </c>
      <c r="T2" s="3">
        <f>IF(S2=0,"",O2/S2)</f>
        <v/>
      </c>
      <c r="U2" s="3">
        <f>IF(S2=0,"",P2/S2)</f>
        <v/>
      </c>
      <c r="V2" s="3">
        <f>IF(S2=0,"",Q2/S2)</f>
        <v/>
      </c>
      <c r="W2" s="3">
        <f>IF(S2=0,"",R2/S2)</f>
        <v/>
      </c>
      <c r="X2" s="4">
        <f>IF(S2=0,"",T2*Pesos!$B$2+U2*Pesos!$B$3+V2*Pesos!$B$4+W2*Pesos!$B$5)</f>
        <v/>
      </c>
    </row>
    <row r="3">
      <c r="A3" s="2" t="n">
        <v>1</v>
      </c>
      <c r="B3" t="n">
        <v>10</v>
      </c>
      <c r="C3" t="n">
        <v>1910</v>
      </c>
      <c r="D3" t="n">
        <v>4155</v>
      </c>
      <c r="E3" t="n">
        <v>2805</v>
      </c>
      <c r="F3" t="n">
        <v>2685</v>
      </c>
      <c r="G3" t="n">
        <v>3265</v>
      </c>
      <c r="H3" t="n">
        <v>1610</v>
      </c>
      <c r="I3" t="n">
        <v>2075</v>
      </c>
      <c r="J3" t="n">
        <v>2920</v>
      </c>
      <c r="K3" t="n">
        <v>1335</v>
      </c>
      <c r="L3" t="n">
        <v>405</v>
      </c>
      <c r="M3" t="n">
        <v>430</v>
      </c>
      <c r="N3" s="6" t="n">
        <v>23595</v>
      </c>
      <c r="O3">
        <f>SUM(C3:H3)</f>
        <v/>
      </c>
      <c r="P3">
        <f>I3</f>
        <v/>
      </c>
      <c r="Q3">
        <f>J3</f>
        <v/>
      </c>
      <c r="R3">
        <f>SUM(K3:M3)</f>
        <v/>
      </c>
      <c r="S3">
        <f>SUM(O3:R3)</f>
        <v/>
      </c>
      <c r="T3" s="3">
        <f>IF(S3=0,"",O3/S3)</f>
        <v/>
      </c>
      <c r="U3" s="3">
        <f>IF(S3=0,"",P3/S3)</f>
        <v/>
      </c>
      <c r="V3" s="3">
        <f>IF(S3=0,"",Q3/S3)</f>
        <v/>
      </c>
      <c r="W3" s="3">
        <f>IF(S3=0,"",R3/S3)</f>
        <v/>
      </c>
      <c r="X3" s="4">
        <f>IF(S3=0,"",T3*Pesos!$B$2+U3*Pesos!$B$3+V3*Pesos!$B$4+W3*Pesos!$B$5)</f>
        <v/>
      </c>
    </row>
    <row r="4">
      <c r="A4" s="2" t="n">
        <v>2</v>
      </c>
      <c r="B4" t="n">
        <v>9</v>
      </c>
      <c r="C4" t="n">
        <v>625</v>
      </c>
      <c r="D4" t="n">
        <v>1400</v>
      </c>
      <c r="E4" t="n">
        <v>980</v>
      </c>
      <c r="F4" t="n">
        <v>960</v>
      </c>
      <c r="G4" t="n">
        <v>1110</v>
      </c>
      <c r="H4" t="n">
        <v>1320</v>
      </c>
      <c r="I4" t="n">
        <v>5690</v>
      </c>
      <c r="J4" t="n">
        <v>4280</v>
      </c>
      <c r="K4" t="n">
        <v>875</v>
      </c>
      <c r="L4" t="n">
        <v>445</v>
      </c>
      <c r="M4" t="n">
        <v>395</v>
      </c>
      <c r="N4" s="6" t="n">
        <v>18080</v>
      </c>
      <c r="O4">
        <f>SUM(C4:H4)</f>
        <v/>
      </c>
      <c r="P4">
        <f>I4</f>
        <v/>
      </c>
      <c r="Q4">
        <f>J4</f>
        <v/>
      </c>
      <c r="R4">
        <f>SUM(K4:M4)</f>
        <v/>
      </c>
      <c r="S4">
        <f>SUM(O4:R4)</f>
        <v/>
      </c>
      <c r="T4" s="3">
        <f>IF(S4=0,"",O4/S4)</f>
        <v/>
      </c>
      <c r="U4" s="3">
        <f>IF(S4=0,"",P4/S4)</f>
        <v/>
      </c>
      <c r="V4" s="3">
        <f>IF(S4=0,"",Q4/S4)</f>
        <v/>
      </c>
      <c r="W4" s="3">
        <f>IF(S4=0,"",R4/S4)</f>
        <v/>
      </c>
      <c r="X4" s="4">
        <f>IF(S4=0,"",T4*Pesos!$B$2+U4*Pesos!$B$3+V4*Pesos!$B$4+W4*Pesos!$B$5)</f>
        <v/>
      </c>
    </row>
    <row r="5">
      <c r="A5" s="2" t="n">
        <v>3</v>
      </c>
      <c r="B5" t="n">
        <v>8</v>
      </c>
      <c r="C5" t="n">
        <v>1340</v>
      </c>
      <c r="D5" t="n">
        <v>730</v>
      </c>
      <c r="E5" t="n">
        <v>970</v>
      </c>
      <c r="F5" t="n">
        <v>645</v>
      </c>
      <c r="G5" t="n">
        <v>550</v>
      </c>
      <c r="H5" t="n">
        <v>760</v>
      </c>
      <c r="I5" t="n">
        <v>1735</v>
      </c>
      <c r="J5" t="n">
        <v>2395</v>
      </c>
      <c r="K5" t="n">
        <v>1720</v>
      </c>
      <c r="L5" t="n">
        <v>1435</v>
      </c>
      <c r="M5" t="n">
        <v>485</v>
      </c>
      <c r="N5" s="6" t="n">
        <v>12770</v>
      </c>
      <c r="O5">
        <f>SUM(C5:H5)</f>
        <v/>
      </c>
      <c r="P5">
        <f>I5</f>
        <v/>
      </c>
      <c r="Q5">
        <f>J5</f>
        <v/>
      </c>
      <c r="R5">
        <f>SUM(K5:M5)</f>
        <v/>
      </c>
      <c r="S5">
        <f>SUM(O5:R5)</f>
        <v/>
      </c>
      <c r="T5" s="3">
        <f>IF(S5=0,"",O5/S5)</f>
        <v/>
      </c>
      <c r="U5" s="3">
        <f>IF(S5=0,"",P5/S5)</f>
        <v/>
      </c>
      <c r="V5" s="3">
        <f>IF(S5=0,"",Q5/S5)</f>
        <v/>
      </c>
      <c r="W5" s="3">
        <f>IF(S5=0,"",R5/S5)</f>
        <v/>
      </c>
      <c r="X5" s="4">
        <f>IF(S5=0,"",T5*Pesos!$B$2+U5*Pesos!$B$3+V5*Pesos!$B$4+W5*Pesos!$B$5)</f>
        <v/>
      </c>
    </row>
    <row r="6">
      <c r="A6" s="2" t="n">
        <v>4</v>
      </c>
      <c r="B6" t="n">
        <v>10</v>
      </c>
      <c r="C6" t="n">
        <v>905</v>
      </c>
      <c r="D6" t="n">
        <v>645</v>
      </c>
      <c r="E6" t="n">
        <v>920</v>
      </c>
      <c r="F6" t="n">
        <v>930</v>
      </c>
      <c r="G6" t="n">
        <v>1030</v>
      </c>
      <c r="H6" t="n">
        <v>395</v>
      </c>
      <c r="I6" t="n">
        <v>1965</v>
      </c>
      <c r="J6" t="n">
        <v>1560</v>
      </c>
      <c r="K6" t="n">
        <v>1655</v>
      </c>
      <c r="L6" t="n">
        <v>3345</v>
      </c>
      <c r="M6" t="n">
        <v>545</v>
      </c>
      <c r="N6" s="6" t="n">
        <v>13895</v>
      </c>
      <c r="O6">
        <f>SUM(C6:H6)</f>
        <v/>
      </c>
      <c r="P6">
        <f>I6</f>
        <v/>
      </c>
      <c r="Q6">
        <f>J6</f>
        <v/>
      </c>
      <c r="R6">
        <f>SUM(K6:M6)</f>
        <v/>
      </c>
      <c r="S6">
        <f>SUM(O6:R6)</f>
        <v/>
      </c>
      <c r="T6" s="3">
        <f>IF(S6=0,"",O6/S6)</f>
        <v/>
      </c>
      <c r="U6" s="3">
        <f>IF(S6=0,"",P6/S6)</f>
        <v/>
      </c>
      <c r="V6" s="3">
        <f>IF(S6=0,"",Q6/S6)</f>
        <v/>
      </c>
      <c r="W6" s="3">
        <f>IF(S6=0,"",R6/S6)</f>
        <v/>
      </c>
      <c r="X6" s="4">
        <f>IF(S6=0,"",T6*Pesos!$B$2+U6*Pesos!$B$3+V6*Pesos!$B$4+W6*Pesos!$B$5)</f>
        <v/>
      </c>
    </row>
    <row r="7">
      <c r="A7" s="2" t="n">
        <v>5</v>
      </c>
      <c r="B7" t="n">
        <v>8</v>
      </c>
      <c r="C7" t="n">
        <v>1040</v>
      </c>
      <c r="D7" t="n">
        <v>860</v>
      </c>
      <c r="E7" t="n">
        <v>1200</v>
      </c>
      <c r="F7" t="n">
        <v>645</v>
      </c>
      <c r="G7" t="n">
        <v>670</v>
      </c>
      <c r="H7" t="n">
        <v>420</v>
      </c>
      <c r="I7" t="n">
        <v>1500</v>
      </c>
      <c r="J7" t="n">
        <v>1535</v>
      </c>
      <c r="K7" t="n">
        <v>1895</v>
      </c>
      <c r="L7" t="n">
        <v>1745</v>
      </c>
      <c r="M7" t="n">
        <v>805</v>
      </c>
      <c r="N7" s="6" t="n">
        <v>12310</v>
      </c>
      <c r="O7">
        <f>SUM(C7:H7)</f>
        <v/>
      </c>
      <c r="P7">
        <f>I7</f>
        <v/>
      </c>
      <c r="Q7">
        <f>J7</f>
        <v/>
      </c>
      <c r="R7">
        <f>SUM(K7:M7)</f>
        <v/>
      </c>
      <c r="S7">
        <f>SUM(O7:R7)</f>
        <v/>
      </c>
      <c r="T7" s="3">
        <f>IF(S7=0,"",O7/S7)</f>
        <v/>
      </c>
      <c r="U7" s="3">
        <f>IF(S7=0,"",P7/S7)</f>
        <v/>
      </c>
      <c r="V7" s="3">
        <f>IF(S7=0,"",Q7/S7)</f>
        <v/>
      </c>
      <c r="W7" s="3">
        <f>IF(S7=0,"",R7/S7)</f>
        <v/>
      </c>
      <c r="X7" s="4">
        <f>IF(S7=0,"",T7*Pesos!$B$2+U7*Pesos!$B$3+V7*Pesos!$B$4+W7*Pesos!$B$5)</f>
        <v/>
      </c>
    </row>
    <row r="8">
      <c r="A8" s="2" t="n">
        <v>6</v>
      </c>
      <c r="B8" t="n">
        <v>8</v>
      </c>
      <c r="C8" t="n">
        <v>970</v>
      </c>
      <c r="D8" t="n">
        <v>960</v>
      </c>
      <c r="E8" t="n">
        <v>750</v>
      </c>
      <c r="F8" t="n">
        <v>330</v>
      </c>
      <c r="G8" t="n">
        <v>200</v>
      </c>
      <c r="H8" t="n">
        <v>485</v>
      </c>
      <c r="I8" t="n">
        <v>2295</v>
      </c>
      <c r="J8" t="n">
        <v>1585</v>
      </c>
      <c r="K8" t="n">
        <v>1480</v>
      </c>
      <c r="L8" t="n">
        <v>1685</v>
      </c>
      <c r="M8" t="n">
        <v>665</v>
      </c>
      <c r="N8" s="6" t="n">
        <v>11415</v>
      </c>
      <c r="O8">
        <f>SUM(C8:H8)</f>
        <v/>
      </c>
      <c r="P8">
        <f>I8</f>
        <v/>
      </c>
      <c r="Q8">
        <f>J8</f>
        <v/>
      </c>
      <c r="R8">
        <f>SUM(K8:M8)</f>
        <v/>
      </c>
      <c r="S8">
        <f>SUM(O8:R8)</f>
        <v/>
      </c>
      <c r="T8" s="3">
        <f>IF(S8=0,"",O8/S8)</f>
        <v/>
      </c>
      <c r="U8" s="3">
        <f>IF(S8=0,"",P8/S8)</f>
        <v/>
      </c>
      <c r="V8" s="3">
        <f>IF(S8=0,"",Q8/S8)</f>
        <v/>
      </c>
      <c r="W8" s="3">
        <f>IF(S8=0,"",R8/S8)</f>
        <v/>
      </c>
      <c r="X8" s="4">
        <f>IF(S8=0,"",T8*Pesos!$B$2+U8*Pesos!$B$3+V8*Pesos!$B$4+W8*Pesos!$B$5)</f>
        <v/>
      </c>
    </row>
    <row r="9">
      <c r="A9" s="2" t="n">
        <v>7</v>
      </c>
      <c r="B9" t="n">
        <v>8</v>
      </c>
      <c r="C9" t="n">
        <v>560</v>
      </c>
      <c r="D9" t="n">
        <v>990</v>
      </c>
      <c r="E9" t="n">
        <v>510</v>
      </c>
      <c r="F9" t="n">
        <v>515</v>
      </c>
      <c r="G9" t="n">
        <v>480</v>
      </c>
      <c r="H9" t="n">
        <v>785</v>
      </c>
      <c r="I9" t="n">
        <v>1505</v>
      </c>
      <c r="J9" t="n">
        <v>1485</v>
      </c>
      <c r="K9" t="n">
        <v>1390</v>
      </c>
      <c r="L9" t="n">
        <v>2940</v>
      </c>
      <c r="M9" t="n">
        <v>385</v>
      </c>
      <c r="N9" s="6" t="n">
        <v>11540</v>
      </c>
      <c r="O9">
        <f>SUM(C9:H9)</f>
        <v/>
      </c>
      <c r="P9">
        <f>I9</f>
        <v/>
      </c>
      <c r="Q9">
        <f>J9</f>
        <v/>
      </c>
      <c r="R9">
        <f>SUM(K9:M9)</f>
        <v/>
      </c>
      <c r="S9">
        <f>SUM(O9:R9)</f>
        <v/>
      </c>
      <c r="T9" s="3">
        <f>IF(S9=0,"",O9/S9)</f>
        <v/>
      </c>
      <c r="U9" s="3">
        <f>IF(S9=0,"",P9/S9)</f>
        <v/>
      </c>
      <c r="V9" s="3">
        <f>IF(S9=0,"",Q9/S9)</f>
        <v/>
      </c>
      <c r="W9" s="3">
        <f>IF(S9=0,"",R9/S9)</f>
        <v/>
      </c>
      <c r="X9" s="4">
        <f>IF(S9=0,"",T9*Pesos!$B$2+U9*Pesos!$B$3+V9*Pesos!$B$4+W9*Pesos!$B$5)</f>
        <v/>
      </c>
    </row>
    <row r="10">
      <c r="A10" s="2" t="n">
        <v>8</v>
      </c>
      <c r="B10" t="n">
        <v>9</v>
      </c>
      <c r="C10" t="n">
        <v>1225</v>
      </c>
      <c r="D10" t="n">
        <v>540</v>
      </c>
      <c r="E10" t="n">
        <v>305</v>
      </c>
      <c r="F10" t="n">
        <v>590</v>
      </c>
      <c r="G10" t="n">
        <v>660</v>
      </c>
      <c r="H10" t="n">
        <v>620</v>
      </c>
      <c r="I10" t="n">
        <v>1830</v>
      </c>
      <c r="J10" t="n">
        <v>2195</v>
      </c>
      <c r="K10" t="n">
        <v>1755</v>
      </c>
      <c r="L10" t="n">
        <v>2315</v>
      </c>
      <c r="M10" t="n">
        <v>90</v>
      </c>
      <c r="N10" s="6" t="n">
        <v>12115</v>
      </c>
      <c r="O10">
        <f>SUM(C10:H10)</f>
        <v/>
      </c>
      <c r="P10">
        <f>I10</f>
        <v/>
      </c>
      <c r="Q10">
        <f>J10</f>
        <v/>
      </c>
      <c r="R10">
        <f>SUM(K10:M10)</f>
        <v/>
      </c>
      <c r="S10">
        <f>SUM(O10:R10)</f>
        <v/>
      </c>
      <c r="T10" s="3">
        <f>IF(S10=0,"",O10/S10)</f>
        <v/>
      </c>
      <c r="U10" s="3">
        <f>IF(S10=0,"",P10/S10)</f>
        <v/>
      </c>
      <c r="V10" s="3">
        <f>IF(S10=0,"",Q10/S10)</f>
        <v/>
      </c>
      <c r="W10" s="3">
        <f>IF(S10=0,"",R10/S10)</f>
        <v/>
      </c>
      <c r="X10" s="4">
        <f>IF(S10=0,"",T10*Pesos!$B$2+U10*Pesos!$B$3+V10*Pesos!$B$4+W10*Pesos!$B$5)</f>
        <v/>
      </c>
    </row>
    <row r="11">
      <c r="A11" s="2" t="n">
        <v>9</v>
      </c>
      <c r="B11" t="n">
        <v>10</v>
      </c>
      <c r="C11" t="n">
        <v>1150</v>
      </c>
      <c r="D11" t="n">
        <v>1070</v>
      </c>
      <c r="E11" t="n">
        <v>435</v>
      </c>
      <c r="F11" t="n">
        <v>340</v>
      </c>
      <c r="G11" t="n">
        <v>830</v>
      </c>
      <c r="H11" t="n">
        <v>515</v>
      </c>
      <c r="I11" t="n">
        <v>2665</v>
      </c>
      <c r="J11" t="n">
        <v>4255</v>
      </c>
      <c r="K11" t="n">
        <v>2715</v>
      </c>
      <c r="L11" t="n">
        <v>1855</v>
      </c>
      <c r="M11" t="n">
        <v>810</v>
      </c>
      <c r="N11" s="6" t="n">
        <v>16645</v>
      </c>
      <c r="O11">
        <f>SUM(C11:H11)</f>
        <v/>
      </c>
      <c r="P11">
        <f>I11</f>
        <v/>
      </c>
      <c r="Q11">
        <f>J11</f>
        <v/>
      </c>
      <c r="R11">
        <f>SUM(K11:M11)</f>
        <v/>
      </c>
      <c r="S11">
        <f>SUM(O11:R11)</f>
        <v/>
      </c>
      <c r="T11" s="3">
        <f>IF(S11=0,"",O11/S11)</f>
        <v/>
      </c>
      <c r="U11" s="3">
        <f>IF(S11=0,"",P11/S11)</f>
        <v/>
      </c>
      <c r="V11" s="3">
        <f>IF(S11=0,"",Q11/S11)</f>
        <v/>
      </c>
      <c r="W11" s="3">
        <f>IF(S11=0,"",R11/S11)</f>
        <v/>
      </c>
      <c r="X11" s="4">
        <f>IF(S11=0,"",T11*Pesos!$B$2+U11*Pesos!$B$3+V11*Pesos!$B$4+W11*Pesos!$B$5)</f>
        <v/>
      </c>
    </row>
    <row r="12">
      <c r="A12" s="2" t="n">
        <v>10</v>
      </c>
      <c r="B12" t="n">
        <v>8</v>
      </c>
      <c r="C12" t="n">
        <v>280</v>
      </c>
      <c r="D12" t="n">
        <v>705</v>
      </c>
      <c r="E12" t="n">
        <v>885</v>
      </c>
      <c r="F12" t="n">
        <v>395</v>
      </c>
      <c r="G12" t="n">
        <v>580</v>
      </c>
      <c r="H12" t="n">
        <v>840</v>
      </c>
      <c r="I12" t="n">
        <v>2850</v>
      </c>
      <c r="J12" t="n">
        <v>3655</v>
      </c>
      <c r="K12" t="n">
        <v>2400</v>
      </c>
      <c r="L12" t="n">
        <v>1380</v>
      </c>
      <c r="M12" s="7" t="n">
        <v>30</v>
      </c>
      <c r="N12" s="6" t="n">
        <v>14005</v>
      </c>
      <c r="O12">
        <f>SUM(C12:H12)</f>
        <v/>
      </c>
      <c r="P12">
        <f>I12</f>
        <v/>
      </c>
      <c r="Q12">
        <f>J12</f>
        <v/>
      </c>
      <c r="R12">
        <f>SUM(K12:M12)</f>
        <v/>
      </c>
      <c r="S12">
        <f>SUM(O12:R12)</f>
        <v/>
      </c>
      <c r="T12" s="3">
        <f>IF(S12=0,"",O12/S12)</f>
        <v/>
      </c>
      <c r="U12" s="3">
        <f>IF(S12=0,"",P12/S12)</f>
        <v/>
      </c>
      <c r="V12" s="3">
        <f>IF(S12=0,"",Q12/S12)</f>
        <v/>
      </c>
      <c r="W12" s="3">
        <f>IF(S12=0,"",R12/S12)</f>
        <v/>
      </c>
      <c r="X12" s="4">
        <f>IF(S12=0,"",T12*Pesos!$B$2+U12*Pesos!$B$3+V12*Pesos!$B$4+W12*Pesos!$B$5)</f>
        <v/>
      </c>
    </row>
    <row r="13">
      <c r="A13" s="2" t="n">
        <v>11</v>
      </c>
      <c r="B13" t="n">
        <v>10</v>
      </c>
      <c r="C13" t="n">
        <v>800</v>
      </c>
      <c r="D13" t="n">
        <v>1210</v>
      </c>
      <c r="E13" t="n">
        <v>1415</v>
      </c>
      <c r="F13" t="n">
        <v>440</v>
      </c>
      <c r="G13" t="n">
        <v>1185</v>
      </c>
      <c r="H13" t="n">
        <v>1195</v>
      </c>
      <c r="I13" t="n">
        <v>4695</v>
      </c>
      <c r="J13" t="n">
        <v>2525</v>
      </c>
      <c r="K13" t="n">
        <v>1540</v>
      </c>
      <c r="L13" t="n">
        <v>1480</v>
      </c>
      <c r="M13" t="n">
        <v>575</v>
      </c>
      <c r="N13" s="6" t="n">
        <v>17065</v>
      </c>
      <c r="O13">
        <f>SUM(C13:H13)</f>
        <v/>
      </c>
      <c r="P13">
        <f>I13</f>
        <v/>
      </c>
      <c r="Q13">
        <f>J13</f>
        <v/>
      </c>
      <c r="R13">
        <f>SUM(K13:M13)</f>
        <v/>
      </c>
      <c r="S13">
        <f>SUM(O13:R13)</f>
        <v/>
      </c>
      <c r="T13" s="3">
        <f>IF(S13=0,"",O13/S13)</f>
        <v/>
      </c>
      <c r="U13" s="3">
        <f>IF(S13=0,"",P13/S13)</f>
        <v/>
      </c>
      <c r="V13" s="3">
        <f>IF(S13=0,"",Q13/S13)</f>
        <v/>
      </c>
      <c r="W13" s="3">
        <f>IF(S13=0,"",R13/S13)</f>
        <v/>
      </c>
      <c r="X13" s="4">
        <f>IF(S13=0,"",T13*Pesos!$B$2+U13*Pesos!$B$3+V13*Pesos!$B$4+W13*Pesos!$B$5)</f>
        <v/>
      </c>
    </row>
    <row r="14">
      <c r="A14" s="2" t="n">
        <v>12</v>
      </c>
      <c r="B14" t="n">
        <v>10</v>
      </c>
      <c r="C14" t="n">
        <v>2865</v>
      </c>
      <c r="D14" t="n">
        <v>1530</v>
      </c>
      <c r="E14" t="n">
        <v>1055</v>
      </c>
      <c r="F14" t="n">
        <v>625</v>
      </c>
      <c r="G14" t="n">
        <v>985</v>
      </c>
      <c r="H14" t="n">
        <v>620</v>
      </c>
      <c r="I14" t="n">
        <v>4335</v>
      </c>
      <c r="J14" t="n">
        <v>5430</v>
      </c>
      <c r="K14" t="n">
        <v>1240</v>
      </c>
      <c r="L14" t="n">
        <v>510</v>
      </c>
      <c r="M14" t="n">
        <v>295</v>
      </c>
      <c r="N14" s="6" t="n">
        <v>19495</v>
      </c>
      <c r="O14">
        <f>SUM(C14:H14)</f>
        <v/>
      </c>
      <c r="P14">
        <f>I14</f>
        <v/>
      </c>
      <c r="Q14">
        <f>J14</f>
        <v/>
      </c>
      <c r="R14">
        <f>SUM(K14:M14)</f>
        <v/>
      </c>
      <c r="S14">
        <f>SUM(O14:R14)</f>
        <v/>
      </c>
      <c r="T14" s="3">
        <f>IF(S14=0,"",O14/S14)</f>
        <v/>
      </c>
      <c r="U14" s="3">
        <f>IF(S14=0,"",P14/S14)</f>
        <v/>
      </c>
      <c r="V14" s="3">
        <f>IF(S14=0,"",Q14/S14)</f>
        <v/>
      </c>
      <c r="W14" s="3">
        <f>IF(S14=0,"",R14/S14)</f>
        <v/>
      </c>
      <c r="X14" s="4">
        <f>IF(S14=0,"",T14*Pesos!$B$2+U14*Pesos!$B$3+V14*Pesos!$B$4+W14*Pesos!$B$5)</f>
        <v/>
      </c>
    </row>
    <row r="15">
      <c r="A15" s="2" t="n">
        <v>13</v>
      </c>
      <c r="B15" t="n">
        <v>8</v>
      </c>
      <c r="C15" t="n">
        <v>435</v>
      </c>
      <c r="D15" t="n">
        <v>560</v>
      </c>
      <c r="E15" t="n">
        <v>620</v>
      </c>
      <c r="F15" t="n">
        <v>420</v>
      </c>
      <c r="G15" t="n">
        <v>335</v>
      </c>
      <c r="H15" t="n">
        <v>785</v>
      </c>
      <c r="I15" t="n">
        <v>2440</v>
      </c>
      <c r="J15" t="n">
        <v>4195</v>
      </c>
      <c r="K15" t="n">
        <v>1135</v>
      </c>
      <c r="L15" t="n">
        <v>1105</v>
      </c>
      <c r="M15" t="n">
        <v>150</v>
      </c>
      <c r="N15" s="6" t="n">
        <v>12180</v>
      </c>
      <c r="O15">
        <f>SUM(C15:H15)</f>
        <v/>
      </c>
      <c r="P15">
        <f>I15</f>
        <v/>
      </c>
      <c r="Q15">
        <f>J15</f>
        <v/>
      </c>
      <c r="R15">
        <f>SUM(K15:M15)</f>
        <v/>
      </c>
      <c r="S15">
        <f>SUM(O15:R15)</f>
        <v/>
      </c>
      <c r="T15" s="3">
        <f>IF(S15=0,"",O15/S15)</f>
        <v/>
      </c>
      <c r="U15" s="3">
        <f>IF(S15=0,"",P15/S15)</f>
        <v/>
      </c>
      <c r="V15" s="3">
        <f>IF(S15=0,"",Q15/S15)</f>
        <v/>
      </c>
      <c r="W15" s="3">
        <f>IF(S15=0,"",R15/S15)</f>
        <v/>
      </c>
      <c r="X15" s="4">
        <f>IF(S15=0,"",T15*Pesos!$B$2+U15*Pesos!$B$3+V15*Pesos!$B$4+W15*Pesos!$B$5)</f>
        <v/>
      </c>
    </row>
    <row r="16">
      <c r="A16" s="2" t="n">
        <v>14</v>
      </c>
      <c r="B16" t="n">
        <v>9</v>
      </c>
      <c r="C16" t="n">
        <v>1045</v>
      </c>
      <c r="D16" t="n">
        <v>1245</v>
      </c>
      <c r="E16" t="n">
        <v>1400</v>
      </c>
      <c r="F16" t="n">
        <v>930</v>
      </c>
      <c r="G16" t="n">
        <v>1255</v>
      </c>
      <c r="H16" t="n">
        <v>1715</v>
      </c>
      <c r="I16" t="n">
        <v>6710</v>
      </c>
      <c r="J16" t="n">
        <v>4645</v>
      </c>
      <c r="K16" t="n">
        <v>105</v>
      </c>
      <c r="L16" s="7" t="n">
        <v>30</v>
      </c>
      <c r="M16" s="7" t="n">
        <v>15</v>
      </c>
      <c r="N16" s="6" t="n">
        <v>19100</v>
      </c>
      <c r="O16">
        <f>SUM(C16:H16)</f>
        <v/>
      </c>
      <c r="P16">
        <f>I16</f>
        <v/>
      </c>
      <c r="Q16">
        <f>J16</f>
        <v/>
      </c>
      <c r="R16">
        <f>SUM(K16:M16)</f>
        <v/>
      </c>
      <c r="S16">
        <f>SUM(O16:R16)</f>
        <v/>
      </c>
      <c r="T16" s="3">
        <f>IF(S16=0,"",O16/S16)</f>
        <v/>
      </c>
      <c r="U16" s="3">
        <f>IF(S16=0,"",P16/S16)</f>
        <v/>
      </c>
      <c r="V16" s="3">
        <f>IF(S16=0,"",Q16/S16)</f>
        <v/>
      </c>
      <c r="W16" s="3">
        <f>IF(S16=0,"",R16/S16)</f>
        <v/>
      </c>
      <c r="X16" s="4">
        <f>IF(S16=0,"",T16*Pesos!$B$2+U16*Pesos!$B$3+V16*Pesos!$B$4+W16*Pesos!$B$5)</f>
        <v/>
      </c>
    </row>
    <row r="17">
      <c r="A17" s="2" t="n">
        <v>15</v>
      </c>
      <c r="B17" t="n">
        <v>9</v>
      </c>
      <c r="C17" t="n">
        <v>495</v>
      </c>
      <c r="D17" t="n">
        <v>930</v>
      </c>
      <c r="E17" t="n">
        <v>470</v>
      </c>
      <c r="F17" t="n">
        <v>625</v>
      </c>
      <c r="G17" t="n">
        <v>375</v>
      </c>
      <c r="H17" t="n">
        <v>335</v>
      </c>
      <c r="I17" t="n">
        <v>1320</v>
      </c>
      <c r="J17" t="n">
        <v>1625</v>
      </c>
      <c r="K17" t="n">
        <v>2025</v>
      </c>
      <c r="L17" t="n">
        <v>2700</v>
      </c>
      <c r="M17" t="n">
        <v>535</v>
      </c>
      <c r="N17" s="6" t="n">
        <v>11440</v>
      </c>
      <c r="O17">
        <f>SUM(C17:H17)</f>
        <v/>
      </c>
      <c r="P17">
        <f>I17</f>
        <v/>
      </c>
      <c r="Q17">
        <f>J17</f>
        <v/>
      </c>
      <c r="R17">
        <f>SUM(K17:M17)</f>
        <v/>
      </c>
      <c r="S17">
        <f>SUM(O17:R17)</f>
        <v/>
      </c>
      <c r="T17" s="3">
        <f>IF(S17=0,"",O17/S17)</f>
        <v/>
      </c>
      <c r="U17" s="3">
        <f>IF(S17=0,"",P17/S17)</f>
        <v/>
      </c>
      <c r="V17" s="3">
        <f>IF(S17=0,"",Q17/S17)</f>
        <v/>
      </c>
      <c r="W17" s="3">
        <f>IF(S17=0,"",R17/S17)</f>
        <v/>
      </c>
      <c r="X17" s="4">
        <f>IF(S17=0,"",T17*Pesos!$B$2+U17*Pesos!$B$3+V17*Pesos!$B$4+W17*Pesos!$B$5)</f>
        <v/>
      </c>
    </row>
    <row r="18">
      <c r="A18" s="2" t="n">
        <v>16</v>
      </c>
      <c r="B18" t="n">
        <v>10</v>
      </c>
      <c r="C18" t="n">
        <v>605</v>
      </c>
      <c r="D18" t="n">
        <v>590</v>
      </c>
      <c r="E18" t="n">
        <v>810</v>
      </c>
      <c r="F18" t="n">
        <v>450</v>
      </c>
      <c r="G18" t="n">
        <v>400</v>
      </c>
      <c r="H18" t="n">
        <v>620</v>
      </c>
      <c r="I18" t="n">
        <v>2160</v>
      </c>
      <c r="J18" t="n">
        <v>4315</v>
      </c>
      <c r="K18" t="n">
        <v>3190</v>
      </c>
      <c r="L18" t="n">
        <v>1675</v>
      </c>
      <c r="M18" t="n">
        <v>165</v>
      </c>
      <c r="N18" s="6" t="n">
        <v>14980</v>
      </c>
      <c r="O18">
        <f>SUM(C18:H18)</f>
        <v/>
      </c>
      <c r="P18">
        <f>I18</f>
        <v/>
      </c>
      <c r="Q18">
        <f>J18</f>
        <v/>
      </c>
      <c r="R18">
        <f>SUM(K18:M18)</f>
        <v/>
      </c>
      <c r="S18">
        <f>SUM(O18:R18)</f>
        <v/>
      </c>
      <c r="T18" s="3">
        <f>IF(S18=0,"",O18/S18)</f>
        <v/>
      </c>
      <c r="U18" s="3">
        <f>IF(S18=0,"",P18/S18)</f>
        <v/>
      </c>
      <c r="V18" s="3">
        <f>IF(S18=0,"",Q18/S18)</f>
        <v/>
      </c>
      <c r="W18" s="3">
        <f>IF(S18=0,"",R18/S18)</f>
        <v/>
      </c>
      <c r="X18" s="4">
        <f>IF(S18=0,"",T18*Pesos!$B$2+U18*Pesos!$B$3+V18*Pesos!$B$4+W18*Pesos!$B$5)</f>
        <v/>
      </c>
    </row>
    <row r="19">
      <c r="A19" s="2" t="n">
        <v>17</v>
      </c>
      <c r="B19" t="n">
        <v>10</v>
      </c>
      <c r="C19" t="n">
        <v>610</v>
      </c>
      <c r="D19" t="n">
        <v>1165</v>
      </c>
      <c r="E19" t="n">
        <v>935</v>
      </c>
      <c r="F19" t="n">
        <v>625</v>
      </c>
      <c r="G19" t="n">
        <v>575</v>
      </c>
      <c r="H19" t="n">
        <v>425</v>
      </c>
      <c r="I19" t="n">
        <v>2305</v>
      </c>
      <c r="J19" t="n">
        <v>2315</v>
      </c>
      <c r="K19" t="n">
        <v>2170</v>
      </c>
      <c r="L19" t="n">
        <v>2290</v>
      </c>
      <c r="M19" t="n">
        <v>1070</v>
      </c>
      <c r="N19" s="6" t="n">
        <v>14490</v>
      </c>
      <c r="O19">
        <f>SUM(C19:H19)</f>
        <v/>
      </c>
      <c r="P19">
        <f>I19</f>
        <v/>
      </c>
      <c r="Q19">
        <f>J19</f>
        <v/>
      </c>
      <c r="R19">
        <f>SUM(K19:M19)</f>
        <v/>
      </c>
      <c r="S19">
        <f>SUM(O19:R19)</f>
        <v/>
      </c>
      <c r="T19" s="3">
        <f>IF(S19=0,"",O19/S19)</f>
        <v/>
      </c>
      <c r="U19" s="3">
        <f>IF(S19=0,"",P19/S19)</f>
        <v/>
      </c>
      <c r="V19" s="3">
        <f>IF(S19=0,"",Q19/S19)</f>
        <v/>
      </c>
      <c r="W19" s="3">
        <f>IF(S19=0,"",R19/S19)</f>
        <v/>
      </c>
      <c r="X19" s="4">
        <f>IF(S19=0,"",T19*Pesos!$B$2+U19*Pesos!$B$3+V19*Pesos!$B$4+W19*Pesos!$B$5)</f>
        <v/>
      </c>
    </row>
    <row r="20">
      <c r="A20" s="2" t="n">
        <v>18</v>
      </c>
      <c r="B20" t="n">
        <v>10</v>
      </c>
      <c r="C20" t="n">
        <v>455</v>
      </c>
      <c r="D20" t="n">
        <v>910</v>
      </c>
      <c r="E20" t="n">
        <v>1215</v>
      </c>
      <c r="F20" t="n">
        <v>370</v>
      </c>
      <c r="G20" t="n">
        <v>230</v>
      </c>
      <c r="H20" t="n">
        <v>540</v>
      </c>
      <c r="I20" t="n">
        <v>1615</v>
      </c>
      <c r="J20" t="n">
        <v>1630</v>
      </c>
      <c r="K20" t="n">
        <v>2015</v>
      </c>
      <c r="L20" t="n">
        <v>3275</v>
      </c>
      <c r="M20" t="n">
        <v>770</v>
      </c>
      <c r="N20" s="6" t="n">
        <v>13025</v>
      </c>
      <c r="O20">
        <f>SUM(C20:H20)</f>
        <v/>
      </c>
      <c r="P20">
        <f>I20</f>
        <v/>
      </c>
      <c r="Q20">
        <f>J20</f>
        <v/>
      </c>
      <c r="R20">
        <f>SUM(K20:M20)</f>
        <v/>
      </c>
      <c r="S20">
        <f>SUM(O20:R20)</f>
        <v/>
      </c>
      <c r="T20" s="3">
        <f>IF(S20=0,"",O20/S20)</f>
        <v/>
      </c>
      <c r="U20" s="3">
        <f>IF(S20=0,"",P20/S20)</f>
        <v/>
      </c>
      <c r="V20" s="3">
        <f>IF(S20=0,"",Q20/S20)</f>
        <v/>
      </c>
      <c r="W20" s="3">
        <f>IF(S20=0,"",R20/S20)</f>
        <v/>
      </c>
      <c r="X20" s="4">
        <f>IF(S20=0,"",T20*Pesos!$B$2+U20*Pesos!$B$3+V20*Pesos!$B$4+W20*Pesos!$B$5)</f>
        <v/>
      </c>
    </row>
    <row r="21">
      <c r="A21" s="2" t="n">
        <v>19</v>
      </c>
      <c r="B21" t="n">
        <v>8</v>
      </c>
      <c r="C21" t="n">
        <v>395</v>
      </c>
      <c r="D21" t="n">
        <v>465</v>
      </c>
      <c r="E21" t="n">
        <v>705</v>
      </c>
      <c r="F21" t="n">
        <v>375</v>
      </c>
      <c r="G21" t="n">
        <v>515</v>
      </c>
      <c r="H21" t="n">
        <v>220</v>
      </c>
      <c r="I21" t="n">
        <v>940</v>
      </c>
      <c r="J21" t="n">
        <v>1745</v>
      </c>
      <c r="K21" t="n">
        <v>2160</v>
      </c>
      <c r="L21" t="n">
        <v>1830</v>
      </c>
      <c r="M21" t="n">
        <v>810</v>
      </c>
      <c r="N21" s="6" t="n">
        <v>10160</v>
      </c>
      <c r="O21">
        <f>SUM(C21:H21)</f>
        <v/>
      </c>
      <c r="P21">
        <f>I21</f>
        <v/>
      </c>
      <c r="Q21">
        <f>J21</f>
        <v/>
      </c>
      <c r="R21">
        <f>SUM(K21:M21)</f>
        <v/>
      </c>
      <c r="S21">
        <f>SUM(O21:R21)</f>
        <v/>
      </c>
      <c r="T21" s="3">
        <f>IF(S21=0,"",O21/S21)</f>
        <v/>
      </c>
      <c r="U21" s="3">
        <f>IF(S21=0,"",P21/S21)</f>
        <v/>
      </c>
      <c r="V21" s="3">
        <f>IF(S21=0,"",Q21/S21)</f>
        <v/>
      </c>
      <c r="W21" s="3">
        <f>IF(S21=0,"",R21/S21)</f>
        <v/>
      </c>
      <c r="X21" s="4">
        <f>IF(S21=0,"",T21*Pesos!$B$2+U21*Pesos!$B$3+V21*Pesos!$B$4+W21*Pesos!$B$5)</f>
        <v/>
      </c>
    </row>
    <row r="22">
      <c r="A22" s="2" t="n">
        <v>20</v>
      </c>
      <c r="B22" t="n">
        <v>7</v>
      </c>
      <c r="C22" t="n">
        <v>360</v>
      </c>
      <c r="D22" t="n">
        <v>655</v>
      </c>
      <c r="E22" t="n">
        <v>660</v>
      </c>
      <c r="F22" t="n">
        <v>410</v>
      </c>
      <c r="G22" t="n">
        <v>580</v>
      </c>
      <c r="H22" t="n">
        <v>505</v>
      </c>
      <c r="I22" t="n">
        <v>1525</v>
      </c>
      <c r="J22" t="n">
        <v>2890</v>
      </c>
      <c r="K22" t="n">
        <v>2830</v>
      </c>
      <c r="L22" t="n">
        <v>2095</v>
      </c>
      <c r="M22" t="n">
        <v>175</v>
      </c>
      <c r="N22" s="6" t="n">
        <v>12685</v>
      </c>
      <c r="O22">
        <f>SUM(C22:H22)</f>
        <v/>
      </c>
      <c r="P22">
        <f>I22</f>
        <v/>
      </c>
      <c r="Q22">
        <f>J22</f>
        <v/>
      </c>
      <c r="R22">
        <f>SUM(K22:M22)</f>
        <v/>
      </c>
      <c r="S22">
        <f>SUM(O22:R22)</f>
        <v/>
      </c>
      <c r="T22" s="3">
        <f>IF(S22=0,"",O22/S22)</f>
        <v/>
      </c>
      <c r="U22" s="3">
        <f>IF(S22=0,"",P22/S22)</f>
        <v/>
      </c>
      <c r="V22" s="3">
        <f>IF(S22=0,"",Q22/S22)</f>
        <v/>
      </c>
      <c r="W22" s="3">
        <f>IF(S22=0,"",R22/S22)</f>
        <v/>
      </c>
      <c r="X22" s="4">
        <f>IF(S22=0,"",T22*Pesos!$B$2+U22*Pesos!$B$3+V22*Pesos!$B$4+W22*Pesos!$B$5)</f>
        <v/>
      </c>
    </row>
    <row r="23">
      <c r="A23" s="2" t="n">
        <v>21</v>
      </c>
      <c r="B23" t="n">
        <v>8</v>
      </c>
      <c r="C23" t="n">
        <v>640</v>
      </c>
      <c r="D23" t="n">
        <v>985</v>
      </c>
      <c r="E23" t="n">
        <v>545</v>
      </c>
      <c r="F23" t="n">
        <v>240</v>
      </c>
      <c r="G23" t="n">
        <v>380</v>
      </c>
      <c r="H23" t="n">
        <v>445</v>
      </c>
      <c r="I23" t="n">
        <v>3735</v>
      </c>
      <c r="J23" t="n">
        <v>6765</v>
      </c>
      <c r="K23" t="n">
        <v>915</v>
      </c>
      <c r="L23" t="n">
        <v>855</v>
      </c>
      <c r="M23" s="7" t="n">
        <v>30</v>
      </c>
      <c r="N23" s="6" t="n">
        <v>15530</v>
      </c>
      <c r="O23">
        <f>SUM(C23:H23)</f>
        <v/>
      </c>
      <c r="P23">
        <f>I23</f>
        <v/>
      </c>
      <c r="Q23">
        <f>J23</f>
        <v/>
      </c>
      <c r="R23">
        <f>SUM(K23:M23)</f>
        <v/>
      </c>
      <c r="S23">
        <f>SUM(O23:R23)</f>
        <v/>
      </c>
      <c r="T23" s="3">
        <f>IF(S23=0,"",O23/S23)</f>
        <v/>
      </c>
      <c r="U23" s="3">
        <f>IF(S23=0,"",P23/S23)</f>
        <v/>
      </c>
      <c r="V23" s="3">
        <f>IF(S23=0,"",Q23/S23)</f>
        <v/>
      </c>
      <c r="W23" s="3">
        <f>IF(S23=0,"",R23/S23)</f>
        <v/>
      </c>
      <c r="X23" s="4">
        <f>IF(S23=0,"",T23*Pesos!$B$2+U23*Pesos!$B$3+V23*Pesos!$B$4+W23*Pesos!$B$5)</f>
        <v/>
      </c>
    </row>
    <row r="24">
      <c r="A24" s="2" t="n">
        <v>22</v>
      </c>
      <c r="B24" t="n">
        <v>11</v>
      </c>
      <c r="C24" t="n">
        <v>1500</v>
      </c>
      <c r="D24" t="n">
        <v>2425</v>
      </c>
      <c r="E24" t="n">
        <v>1545</v>
      </c>
      <c r="F24" t="n">
        <v>1345</v>
      </c>
      <c r="G24" t="n">
        <v>1585</v>
      </c>
      <c r="H24" t="n">
        <v>1065</v>
      </c>
      <c r="I24" t="n">
        <v>4970</v>
      </c>
      <c r="J24" t="n">
        <v>6255</v>
      </c>
      <c r="K24" t="n">
        <v>3570</v>
      </c>
      <c r="L24" t="n">
        <v>590</v>
      </c>
      <c r="M24" t="n">
        <v>70</v>
      </c>
      <c r="N24" s="6" t="n">
        <v>24925</v>
      </c>
      <c r="O24">
        <f>SUM(C24:H24)</f>
        <v/>
      </c>
      <c r="P24">
        <f>I24</f>
        <v/>
      </c>
      <c r="Q24">
        <f>J24</f>
        <v/>
      </c>
      <c r="R24">
        <f>SUM(K24:M24)</f>
        <v/>
      </c>
      <c r="S24">
        <f>SUM(O24:R24)</f>
        <v/>
      </c>
      <c r="T24" s="3">
        <f>IF(S24=0,"",O24/S24)</f>
        <v/>
      </c>
      <c r="U24" s="3">
        <f>IF(S24=0,"",P24/S24)</f>
        <v/>
      </c>
      <c r="V24" s="3">
        <f>IF(S24=0,"",Q24/S24)</f>
        <v/>
      </c>
      <c r="W24" s="3">
        <f>IF(S24=0,"",R24/S24)</f>
        <v/>
      </c>
      <c r="X24" s="4">
        <f>IF(S24=0,"",T24*Pesos!$B$2+U24*Pesos!$B$3+V24*Pesos!$B$4+W24*Pesos!$B$5)</f>
        <v/>
      </c>
    </row>
    <row r="25">
      <c r="A25" s="2" t="n">
        <v>23</v>
      </c>
      <c r="B25" t="n">
        <v>8</v>
      </c>
      <c r="C25" t="n">
        <v>1395</v>
      </c>
      <c r="D25" t="n">
        <v>3355</v>
      </c>
      <c r="E25" t="n">
        <v>2550</v>
      </c>
      <c r="F25" t="n">
        <v>1055</v>
      </c>
      <c r="G25" t="n">
        <v>960</v>
      </c>
      <c r="H25" t="n">
        <v>1130</v>
      </c>
      <c r="I25" t="n">
        <v>7070</v>
      </c>
      <c r="J25" t="n">
        <v>1090</v>
      </c>
      <c r="K25" t="n">
        <v>435</v>
      </c>
      <c r="L25" t="n">
        <v>85</v>
      </c>
      <c r="M25" s="7" t="n">
        <v>40</v>
      </c>
      <c r="N25" s="6" t="n">
        <v>19160</v>
      </c>
      <c r="O25">
        <f>SUM(C25:H25)</f>
        <v/>
      </c>
      <c r="P25">
        <f>I25</f>
        <v/>
      </c>
      <c r="Q25">
        <f>J25</f>
        <v/>
      </c>
      <c r="R25">
        <f>SUM(K25:M25)</f>
        <v/>
      </c>
      <c r="S25">
        <f>SUM(O25:R25)</f>
        <v/>
      </c>
      <c r="T25" s="3">
        <f>IF(S25=0,"",O25/S25)</f>
        <v/>
      </c>
      <c r="U25" s="3">
        <f>IF(S25=0,"",P25/S25)</f>
        <v/>
      </c>
      <c r="V25" s="3">
        <f>IF(S25=0,"",Q25/S25)</f>
        <v/>
      </c>
      <c r="W25" s="3">
        <f>IF(S25=0,"",R25/S25)</f>
        <v/>
      </c>
      <c r="X25" s="4">
        <f>IF(S25=0,"",T25*Pesos!$B$2+U25*Pesos!$B$3+V25*Pesos!$B$4+W25*Pesos!$B$5)</f>
        <v/>
      </c>
    </row>
    <row r="26">
      <c r="A26" s="2" t="n">
        <v>24</v>
      </c>
      <c r="B26" t="n">
        <v>10</v>
      </c>
      <c r="C26" t="n">
        <v>810</v>
      </c>
      <c r="D26" t="n">
        <v>465</v>
      </c>
      <c r="E26" t="n">
        <v>410</v>
      </c>
      <c r="F26" t="n">
        <v>250</v>
      </c>
      <c r="G26" t="n">
        <v>440</v>
      </c>
      <c r="H26" t="n">
        <v>485</v>
      </c>
      <c r="I26" t="n">
        <v>1735</v>
      </c>
      <c r="J26" t="n">
        <v>2095</v>
      </c>
      <c r="K26" t="n">
        <v>975</v>
      </c>
      <c r="L26" t="n">
        <v>2000</v>
      </c>
      <c r="M26" t="n">
        <v>1000</v>
      </c>
      <c r="N26" s="6" t="n">
        <v>10665</v>
      </c>
      <c r="O26">
        <f>SUM(C26:H26)</f>
        <v/>
      </c>
      <c r="P26">
        <f>I26</f>
        <v/>
      </c>
      <c r="Q26">
        <f>J26</f>
        <v/>
      </c>
      <c r="R26">
        <f>SUM(K26:M26)</f>
        <v/>
      </c>
      <c r="S26">
        <f>SUM(O26:R26)</f>
        <v/>
      </c>
      <c r="T26" s="3">
        <f>IF(S26=0,"",O26/S26)</f>
        <v/>
      </c>
      <c r="U26" s="3">
        <f>IF(S26=0,"",P26/S26)</f>
        <v/>
      </c>
      <c r="V26" s="3">
        <f>IF(S26=0,"",Q26/S26)</f>
        <v/>
      </c>
      <c r="W26" s="3">
        <f>IF(S26=0,"",R26/S26)</f>
        <v/>
      </c>
      <c r="X26" s="4">
        <f>IF(S26=0,"",T26*Pesos!$B$2+U26*Pesos!$B$3+V26*Pesos!$B$4+W26*Pesos!$B$5)</f>
        <v/>
      </c>
    </row>
    <row r="27">
      <c r="A27" s="2" t="n">
        <v>25</v>
      </c>
      <c r="B27" t="n">
        <v>8</v>
      </c>
      <c r="C27" t="n">
        <v>770</v>
      </c>
      <c r="D27" t="n">
        <v>985</v>
      </c>
      <c r="E27" t="n">
        <v>525</v>
      </c>
      <c r="F27" t="n">
        <v>275</v>
      </c>
      <c r="G27" t="n">
        <v>315</v>
      </c>
      <c r="H27" t="n">
        <v>225</v>
      </c>
      <c r="I27" t="n">
        <v>2020</v>
      </c>
      <c r="J27" t="n">
        <v>1870</v>
      </c>
      <c r="K27" t="n">
        <v>780</v>
      </c>
      <c r="L27" t="n">
        <v>1760</v>
      </c>
      <c r="M27" t="n">
        <v>910</v>
      </c>
      <c r="N27" s="6" t="n">
        <v>10445</v>
      </c>
      <c r="O27">
        <f>SUM(C27:H27)</f>
        <v/>
      </c>
      <c r="P27">
        <f>I27</f>
        <v/>
      </c>
      <c r="Q27">
        <f>J27</f>
        <v/>
      </c>
      <c r="R27">
        <f>SUM(K27:M27)</f>
        <v/>
      </c>
      <c r="S27">
        <f>SUM(O27:R27)</f>
        <v/>
      </c>
      <c r="T27" s="3">
        <f>IF(S27=0,"",O27/S27)</f>
        <v/>
      </c>
      <c r="U27" s="3">
        <f>IF(S27=0,"",P27/S27)</f>
        <v/>
      </c>
      <c r="V27" s="3">
        <f>IF(S27=0,"",Q27/S27)</f>
        <v/>
      </c>
      <c r="W27" s="3">
        <f>IF(S27=0,"",R27/S27)</f>
        <v/>
      </c>
      <c r="X27" s="4">
        <f>IF(S27=0,"",T27*Pesos!$B$2+U27*Pesos!$B$3+V27*Pesos!$B$4+W27*Pesos!$B$5)</f>
        <v/>
      </c>
    </row>
    <row r="28">
      <c r="A28" s="2" t="n">
        <v>26</v>
      </c>
      <c r="B28" t="n">
        <v>8</v>
      </c>
      <c r="C28" t="n">
        <v>665</v>
      </c>
      <c r="D28" t="n">
        <v>295</v>
      </c>
      <c r="E28" t="n">
        <v>335</v>
      </c>
      <c r="F28" t="n">
        <v>835</v>
      </c>
      <c r="G28" t="n">
        <v>380</v>
      </c>
      <c r="H28" t="n">
        <v>430</v>
      </c>
      <c r="I28" t="n">
        <v>1985</v>
      </c>
      <c r="J28" t="n">
        <v>2205</v>
      </c>
      <c r="K28" t="n">
        <v>1450</v>
      </c>
      <c r="L28" t="n">
        <v>2340</v>
      </c>
      <c r="M28" t="n">
        <v>585</v>
      </c>
      <c r="N28" s="6" t="n">
        <v>11510</v>
      </c>
      <c r="O28">
        <f>SUM(C28:H28)</f>
        <v/>
      </c>
      <c r="P28">
        <f>I28</f>
        <v/>
      </c>
      <c r="Q28">
        <f>J28</f>
        <v/>
      </c>
      <c r="R28">
        <f>SUM(K28:M28)</f>
        <v/>
      </c>
      <c r="S28">
        <f>SUM(O28:R28)</f>
        <v/>
      </c>
      <c r="T28" s="3">
        <f>IF(S28=0,"",O28/S28)</f>
        <v/>
      </c>
      <c r="U28" s="3">
        <f>IF(S28=0,"",P28/S28)</f>
        <v/>
      </c>
      <c r="V28" s="3">
        <f>IF(S28=0,"",Q28/S28)</f>
        <v/>
      </c>
      <c r="W28" s="3">
        <f>IF(S28=0,"",R28/S28)</f>
        <v/>
      </c>
      <c r="X28" s="4">
        <f>IF(S28=0,"",T28*Pesos!$B$2+U28*Pesos!$B$3+V28*Pesos!$B$4+W28*Pesos!$B$5)</f>
        <v/>
      </c>
    </row>
    <row r="29">
      <c r="A29" s="2" t="n">
        <v>27</v>
      </c>
      <c r="B29" t="n">
        <v>9</v>
      </c>
      <c r="C29" t="n">
        <v>345</v>
      </c>
      <c r="D29" t="n">
        <v>770</v>
      </c>
      <c r="E29" t="n">
        <v>515</v>
      </c>
      <c r="F29" t="n">
        <v>580</v>
      </c>
      <c r="G29" t="n">
        <v>590</v>
      </c>
      <c r="H29" t="n">
        <v>1035</v>
      </c>
      <c r="I29" t="n">
        <v>2925</v>
      </c>
      <c r="J29" t="n">
        <v>4180</v>
      </c>
      <c r="K29" t="n">
        <v>2185</v>
      </c>
      <c r="L29" t="n">
        <v>555</v>
      </c>
      <c r="M29" t="n">
        <v>305</v>
      </c>
      <c r="N29" s="6" t="n">
        <v>13985</v>
      </c>
      <c r="O29">
        <f>SUM(C29:H29)</f>
        <v/>
      </c>
      <c r="P29">
        <f>I29</f>
        <v/>
      </c>
      <c r="Q29">
        <f>J29</f>
        <v/>
      </c>
      <c r="R29">
        <f>SUM(K29:M29)</f>
        <v/>
      </c>
      <c r="S29">
        <f>SUM(O29:R29)</f>
        <v/>
      </c>
      <c r="T29" s="3">
        <f>IF(S29=0,"",O29/S29)</f>
        <v/>
      </c>
      <c r="U29" s="3">
        <f>IF(S29=0,"",P29/S29)</f>
        <v/>
      </c>
      <c r="V29" s="3">
        <f>IF(S29=0,"",Q29/S29)</f>
        <v/>
      </c>
      <c r="W29" s="3">
        <f>IF(S29=0,"",R29/S29)</f>
        <v/>
      </c>
      <c r="X29" s="4">
        <f>IF(S29=0,"",T29*Pesos!$B$2+U29*Pesos!$B$3+V29*Pesos!$B$4+W29*Pesos!$B$5)</f>
        <v/>
      </c>
    </row>
    <row r="30">
      <c r="A30" s="2" t="n">
        <v>28</v>
      </c>
      <c r="B30" t="n">
        <v>12</v>
      </c>
      <c r="C30" t="n">
        <v>5295</v>
      </c>
      <c r="D30" t="n">
        <v>5805</v>
      </c>
      <c r="E30" t="n">
        <v>3960</v>
      </c>
      <c r="F30" t="n">
        <v>1375</v>
      </c>
      <c r="G30" t="n">
        <v>1440</v>
      </c>
      <c r="H30" t="n">
        <v>2420</v>
      </c>
      <c r="I30" t="n">
        <v>9000</v>
      </c>
      <c r="J30" t="n">
        <v>7165</v>
      </c>
      <c r="K30" t="n">
        <v>210</v>
      </c>
      <c r="L30" t="n">
        <v>205</v>
      </c>
      <c r="M30" s="7" t="n">
        <v>50</v>
      </c>
      <c r="N30" s="6" t="n">
        <v>36920</v>
      </c>
      <c r="O30">
        <f>SUM(C30:H30)</f>
        <v/>
      </c>
      <c r="P30">
        <f>I30</f>
        <v/>
      </c>
      <c r="Q30">
        <f>J30</f>
        <v/>
      </c>
      <c r="R30">
        <f>SUM(K30:M30)</f>
        <v/>
      </c>
      <c r="S30">
        <f>SUM(O30:R30)</f>
        <v/>
      </c>
      <c r="T30" s="3">
        <f>IF(S30=0,"",O30/S30)</f>
        <v/>
      </c>
      <c r="U30" s="3">
        <f>IF(S30=0,"",P30/S30)</f>
        <v/>
      </c>
      <c r="V30" s="3">
        <f>IF(S30=0,"",Q30/S30)</f>
        <v/>
      </c>
      <c r="W30" s="3">
        <f>IF(S30=0,"",R30/S30)</f>
        <v/>
      </c>
      <c r="X30" s="4">
        <f>IF(S30=0,"",T30*Pesos!$B$2+U30*Pesos!$B$3+V30*Pesos!$B$4+W30*Pesos!$B$5)</f>
        <v/>
      </c>
    </row>
    <row r="31">
      <c r="A31" s="2" t="n">
        <v>29</v>
      </c>
      <c r="B31" t="n">
        <v>8</v>
      </c>
      <c r="C31" t="n">
        <v>250</v>
      </c>
      <c r="D31" t="n">
        <v>410</v>
      </c>
      <c r="E31" t="n">
        <v>450</v>
      </c>
      <c r="F31" t="n">
        <v>300</v>
      </c>
      <c r="G31" t="n">
        <v>275</v>
      </c>
      <c r="H31" t="n">
        <v>145</v>
      </c>
      <c r="I31" t="n">
        <v>1150</v>
      </c>
      <c r="J31" t="n">
        <v>1645</v>
      </c>
      <c r="K31" t="n">
        <v>1100</v>
      </c>
      <c r="L31" t="n">
        <v>2700</v>
      </c>
      <c r="M31" t="n">
        <v>280</v>
      </c>
      <c r="N31" s="6" t="n">
        <v>8705</v>
      </c>
      <c r="O31">
        <f>SUM(C31:H31)</f>
        <v/>
      </c>
      <c r="P31">
        <f>I31</f>
        <v/>
      </c>
      <c r="Q31">
        <f>J31</f>
        <v/>
      </c>
      <c r="R31">
        <f>SUM(K31:M31)</f>
        <v/>
      </c>
      <c r="S31">
        <f>SUM(O31:R31)</f>
        <v/>
      </c>
      <c r="T31" s="3">
        <f>IF(S31=0,"",O31/S31)</f>
        <v/>
      </c>
      <c r="U31" s="3">
        <f>IF(S31=0,"",P31/S31)</f>
        <v/>
      </c>
      <c r="V31" s="3">
        <f>IF(S31=0,"",Q31/S31)</f>
        <v/>
      </c>
      <c r="W31" s="3">
        <f>IF(S31=0,"",R31/S31)</f>
        <v/>
      </c>
      <c r="X31" s="4">
        <f>IF(S31=0,"",T31*Pesos!$B$2+U31*Pesos!$B$3+V31*Pesos!$B$4+W31*Pesos!$B$5)</f>
        <v/>
      </c>
    </row>
    <row r="32">
      <c r="A32" s="2" t="n">
        <v>30</v>
      </c>
      <c r="B32" t="n">
        <v>8</v>
      </c>
      <c r="C32" t="n">
        <v>310</v>
      </c>
      <c r="D32" t="n">
        <v>445</v>
      </c>
      <c r="E32" t="n">
        <v>145</v>
      </c>
      <c r="F32" t="n">
        <v>105</v>
      </c>
      <c r="G32" t="n">
        <v>190</v>
      </c>
      <c r="H32" t="n">
        <v>140</v>
      </c>
      <c r="I32" t="n">
        <v>860</v>
      </c>
      <c r="J32" t="n">
        <v>1145</v>
      </c>
      <c r="K32" t="n">
        <v>1305</v>
      </c>
      <c r="L32" t="n">
        <v>2185</v>
      </c>
      <c r="M32" t="n">
        <v>480</v>
      </c>
      <c r="N32" s="6" t="n">
        <v>7315</v>
      </c>
      <c r="O32">
        <f>SUM(C32:H32)</f>
        <v/>
      </c>
      <c r="P32">
        <f>I32</f>
        <v/>
      </c>
      <c r="Q32">
        <f>J32</f>
        <v/>
      </c>
      <c r="R32">
        <f>SUM(K32:M32)</f>
        <v/>
      </c>
      <c r="S32">
        <f>SUM(O32:R32)</f>
        <v/>
      </c>
      <c r="T32" s="3">
        <f>IF(S32=0,"",O32/S32)</f>
        <v/>
      </c>
      <c r="U32" s="3">
        <f>IF(S32=0,"",P32/S32)</f>
        <v/>
      </c>
      <c r="V32" s="3">
        <f>IF(S32=0,"",Q32/S32)</f>
        <v/>
      </c>
      <c r="W32" s="3">
        <f>IF(S32=0,"",R32/S32)</f>
        <v/>
      </c>
      <c r="X32" s="4">
        <f>IF(S32=0,"",T32*Pesos!$B$2+U32*Pesos!$B$3+V32*Pesos!$B$4+W32*Pesos!$B$5)</f>
        <v/>
      </c>
    </row>
    <row r="33">
      <c r="A33" s="2" t="n">
        <v>31</v>
      </c>
      <c r="B33" t="n">
        <v>8</v>
      </c>
      <c r="C33" t="n">
        <v>640</v>
      </c>
      <c r="D33" t="n">
        <v>455</v>
      </c>
      <c r="E33" t="n">
        <v>240</v>
      </c>
      <c r="F33" t="n">
        <v>200</v>
      </c>
      <c r="G33" t="n">
        <v>695</v>
      </c>
      <c r="H33" t="n">
        <v>505</v>
      </c>
      <c r="I33" t="n">
        <v>1760</v>
      </c>
      <c r="J33" t="n">
        <v>2535</v>
      </c>
      <c r="K33" t="n">
        <v>1000</v>
      </c>
      <c r="L33" t="n">
        <v>1890</v>
      </c>
      <c r="M33" t="n">
        <v>1495</v>
      </c>
      <c r="N33" s="6" t="n">
        <v>11415</v>
      </c>
      <c r="O33">
        <f>SUM(C33:H33)</f>
        <v/>
      </c>
      <c r="P33">
        <f>I33</f>
        <v/>
      </c>
      <c r="Q33">
        <f>J33</f>
        <v/>
      </c>
      <c r="R33">
        <f>SUM(K33:M33)</f>
        <v/>
      </c>
      <c r="S33">
        <f>SUM(O33:R33)</f>
        <v/>
      </c>
      <c r="T33" s="3">
        <f>IF(S33=0,"",O33/S33)</f>
        <v/>
      </c>
      <c r="U33" s="3">
        <f>IF(S33=0,"",P33/S33)</f>
        <v/>
      </c>
      <c r="V33" s="3">
        <f>IF(S33=0,"",Q33/S33)</f>
        <v/>
      </c>
      <c r="W33" s="3">
        <f>IF(S33=0,"",R33/S33)</f>
        <v/>
      </c>
      <c r="X33" s="4">
        <f>IF(S33=0,"",T33*Pesos!$B$2+U33*Pesos!$B$3+V33*Pesos!$B$4+W33*Pesos!$B$5)</f>
        <v/>
      </c>
    </row>
    <row r="34">
      <c r="A34" s="2" t="n">
        <v>32</v>
      </c>
      <c r="B34" t="n">
        <v>12</v>
      </c>
      <c r="C34" t="n">
        <v>590</v>
      </c>
      <c r="D34" t="n">
        <v>985</v>
      </c>
      <c r="E34" t="n">
        <v>795</v>
      </c>
      <c r="F34" t="n">
        <v>940</v>
      </c>
      <c r="G34" t="n">
        <v>775</v>
      </c>
      <c r="H34" t="n">
        <v>1000</v>
      </c>
      <c r="I34" t="n">
        <v>5245</v>
      </c>
      <c r="J34" t="n">
        <v>8565</v>
      </c>
      <c r="K34" t="n">
        <v>810</v>
      </c>
      <c r="L34" t="n">
        <v>1335</v>
      </c>
      <c r="M34" t="n">
        <v>195</v>
      </c>
      <c r="N34" s="6" t="n">
        <v>21235</v>
      </c>
      <c r="O34">
        <f>SUM(C34:H34)</f>
        <v/>
      </c>
      <c r="P34">
        <f>I34</f>
        <v/>
      </c>
      <c r="Q34">
        <f>J34</f>
        <v/>
      </c>
      <c r="R34">
        <f>SUM(K34:M34)</f>
        <v/>
      </c>
      <c r="S34">
        <f>SUM(O34:R34)</f>
        <v/>
      </c>
      <c r="T34" s="3">
        <f>IF(S34=0,"",O34/S34)</f>
        <v/>
      </c>
      <c r="U34" s="3">
        <f>IF(S34=0,"",P34/S34)</f>
        <v/>
      </c>
      <c r="V34" s="3">
        <f>IF(S34=0,"",Q34/S34)</f>
        <v/>
      </c>
      <c r="W34" s="3">
        <f>IF(S34=0,"",R34/S34)</f>
        <v/>
      </c>
      <c r="X34" s="4">
        <f>IF(S34=0,"",T34*Pesos!$B$2+U34*Pesos!$B$3+V34*Pesos!$B$4+W34*Pesos!$B$5)</f>
        <v/>
      </c>
    </row>
    <row r="35">
      <c r="A35" s="2" t="n">
        <v>33</v>
      </c>
      <c r="B35" t="n">
        <v>8</v>
      </c>
      <c r="C35" t="n">
        <v>635</v>
      </c>
      <c r="D35" t="n">
        <v>520</v>
      </c>
      <c r="E35" t="n">
        <v>455</v>
      </c>
      <c r="F35" t="n">
        <v>195</v>
      </c>
      <c r="G35" t="n">
        <v>200</v>
      </c>
      <c r="H35" t="n">
        <v>385</v>
      </c>
      <c r="I35" t="n">
        <v>1140</v>
      </c>
      <c r="J35" t="n">
        <v>835</v>
      </c>
      <c r="K35" t="n">
        <v>1210</v>
      </c>
      <c r="L35" t="n">
        <v>1850</v>
      </c>
      <c r="M35" t="n">
        <v>545</v>
      </c>
      <c r="N35" s="6" t="n">
        <v>7975</v>
      </c>
      <c r="O35">
        <f>SUM(C35:H35)</f>
        <v/>
      </c>
      <c r="P35">
        <f>I35</f>
        <v/>
      </c>
      <c r="Q35">
        <f>J35</f>
        <v/>
      </c>
      <c r="R35">
        <f>SUM(K35:M35)</f>
        <v/>
      </c>
      <c r="S35">
        <f>SUM(O35:R35)</f>
        <v/>
      </c>
      <c r="T35" s="3">
        <f>IF(S35=0,"",O35/S35)</f>
        <v/>
      </c>
      <c r="U35" s="3">
        <f>IF(S35=0,"",P35/S35)</f>
        <v/>
      </c>
      <c r="V35" s="3">
        <f>IF(S35=0,"",Q35/S35)</f>
        <v/>
      </c>
      <c r="W35" s="3">
        <f>IF(S35=0,"",R35/S35)</f>
        <v/>
      </c>
      <c r="X35" s="4">
        <f>IF(S35=0,"",T35*Pesos!$B$2+U35*Pesos!$B$3+V35*Pesos!$B$4+W35*Pesos!$B$5)</f>
        <v/>
      </c>
    </row>
    <row r="36">
      <c r="A36" s="2" t="n">
        <v>34</v>
      </c>
      <c r="B36" t="n">
        <v>8</v>
      </c>
      <c r="C36" t="n">
        <v>430</v>
      </c>
      <c r="D36" t="n">
        <v>345</v>
      </c>
      <c r="E36" t="n">
        <v>340</v>
      </c>
      <c r="F36" t="n">
        <v>340</v>
      </c>
      <c r="G36" t="n">
        <v>180</v>
      </c>
      <c r="H36" t="n">
        <v>355</v>
      </c>
      <c r="I36" t="n">
        <v>920</v>
      </c>
      <c r="J36" t="n">
        <v>1475</v>
      </c>
      <c r="K36" t="n">
        <v>2060</v>
      </c>
      <c r="L36" t="n">
        <v>2420</v>
      </c>
      <c r="M36" t="n">
        <v>115</v>
      </c>
      <c r="N36" s="6" t="n">
        <v>8985</v>
      </c>
      <c r="O36">
        <f>SUM(C36:H36)</f>
        <v/>
      </c>
      <c r="P36">
        <f>I36</f>
        <v/>
      </c>
      <c r="Q36">
        <f>J36</f>
        <v/>
      </c>
      <c r="R36">
        <f>SUM(K36:M36)</f>
        <v/>
      </c>
      <c r="S36">
        <f>SUM(O36:R36)</f>
        <v/>
      </c>
      <c r="T36" s="3">
        <f>IF(S36=0,"",O36/S36)</f>
        <v/>
      </c>
      <c r="U36" s="3">
        <f>IF(S36=0,"",P36/S36)</f>
        <v/>
      </c>
      <c r="V36" s="3">
        <f>IF(S36=0,"",Q36/S36)</f>
        <v/>
      </c>
      <c r="W36" s="3">
        <f>IF(S36=0,"",R36/S36)</f>
        <v/>
      </c>
      <c r="X36" s="4">
        <f>IF(S36=0,"",T36*Pesos!$B$2+U36*Pesos!$B$3+V36*Pesos!$B$4+W36*Pesos!$B$5)</f>
        <v/>
      </c>
    </row>
    <row r="37">
      <c r="A37" s="2" t="n">
        <v>35</v>
      </c>
      <c r="B37" t="n">
        <v>8</v>
      </c>
      <c r="C37" t="n">
        <v>250</v>
      </c>
      <c r="D37" t="n">
        <v>485</v>
      </c>
      <c r="E37" t="n">
        <v>270</v>
      </c>
      <c r="F37" t="n">
        <v>505</v>
      </c>
      <c r="G37" t="n">
        <v>115</v>
      </c>
      <c r="H37" t="n">
        <v>160</v>
      </c>
      <c r="I37" t="n">
        <v>1340</v>
      </c>
      <c r="J37" t="n">
        <v>1910</v>
      </c>
      <c r="K37" t="n">
        <v>1525</v>
      </c>
      <c r="L37" t="n">
        <v>3145</v>
      </c>
      <c r="M37" t="n">
        <v>490</v>
      </c>
      <c r="N37" s="6" t="n">
        <v>10195</v>
      </c>
      <c r="O37">
        <f>SUM(C37:H37)</f>
        <v/>
      </c>
      <c r="P37">
        <f>I37</f>
        <v/>
      </c>
      <c r="Q37">
        <f>J37</f>
        <v/>
      </c>
      <c r="R37">
        <f>SUM(K37:M37)</f>
        <v/>
      </c>
      <c r="S37">
        <f>SUM(O37:R37)</f>
        <v/>
      </c>
      <c r="T37" s="3">
        <f>IF(S37=0,"",O37/S37)</f>
        <v/>
      </c>
      <c r="U37" s="3">
        <f>IF(S37=0,"",P37/S37)</f>
        <v/>
      </c>
      <c r="V37" s="3">
        <f>IF(S37=0,"",Q37/S37)</f>
        <v/>
      </c>
      <c r="W37" s="3">
        <f>IF(S37=0,"",R37/S37)</f>
        <v/>
      </c>
      <c r="X37" s="4">
        <f>IF(S37=0,"",T37*Pesos!$B$2+U37*Pesos!$B$3+V37*Pesos!$B$4+W37*Pesos!$B$5)</f>
        <v/>
      </c>
    </row>
    <row r="38">
      <c r="A38" s="2" t="n">
        <v>36</v>
      </c>
      <c r="B38" t="n">
        <v>8</v>
      </c>
      <c r="C38" t="n">
        <v>215</v>
      </c>
      <c r="D38" t="n">
        <v>1085</v>
      </c>
      <c r="E38" t="n">
        <v>360</v>
      </c>
      <c r="F38" t="n">
        <v>150</v>
      </c>
      <c r="G38" t="n">
        <v>385</v>
      </c>
      <c r="H38" t="n">
        <v>215</v>
      </c>
      <c r="I38" t="n">
        <v>715</v>
      </c>
      <c r="J38" t="n">
        <v>1680</v>
      </c>
      <c r="K38" t="n">
        <v>1675</v>
      </c>
      <c r="L38" t="n">
        <v>2800</v>
      </c>
      <c r="M38" t="n">
        <v>110</v>
      </c>
      <c r="N38" s="6" t="n">
        <v>9395</v>
      </c>
      <c r="O38">
        <f>SUM(C38:H38)</f>
        <v/>
      </c>
      <c r="P38">
        <f>I38</f>
        <v/>
      </c>
      <c r="Q38">
        <f>J38</f>
        <v/>
      </c>
      <c r="R38">
        <f>SUM(K38:M38)</f>
        <v/>
      </c>
      <c r="S38">
        <f>SUM(O38:R38)</f>
        <v/>
      </c>
      <c r="T38" s="3">
        <f>IF(S38=0,"",O38/S38)</f>
        <v/>
      </c>
      <c r="U38" s="3">
        <f>IF(S38=0,"",P38/S38)</f>
        <v/>
      </c>
      <c r="V38" s="3">
        <f>IF(S38=0,"",Q38/S38)</f>
        <v/>
      </c>
      <c r="W38" s="3">
        <f>IF(S38=0,"",R38/S38)</f>
        <v/>
      </c>
      <c r="X38" s="4">
        <f>IF(S38=0,"",T38*Pesos!$B$2+U38*Pesos!$B$3+V38*Pesos!$B$4+W38*Pesos!$B$5)</f>
        <v/>
      </c>
    </row>
    <row r="39">
      <c r="A39" s="2" t="n">
        <v>37</v>
      </c>
      <c r="B39" t="n">
        <v>8</v>
      </c>
      <c r="C39" t="n">
        <v>395</v>
      </c>
      <c r="D39" t="n">
        <v>210</v>
      </c>
      <c r="E39" t="n">
        <v>335</v>
      </c>
      <c r="F39" t="n">
        <v>115</v>
      </c>
      <c r="G39" t="n">
        <v>340</v>
      </c>
      <c r="H39" t="n">
        <v>395</v>
      </c>
      <c r="I39" t="n">
        <v>1520</v>
      </c>
      <c r="J39" t="n">
        <v>1970</v>
      </c>
      <c r="K39" t="n">
        <v>2145</v>
      </c>
      <c r="L39" t="n">
        <v>2355</v>
      </c>
      <c r="M39" t="n">
        <v>735</v>
      </c>
      <c r="N39" s="6" t="n">
        <v>10520</v>
      </c>
      <c r="O39">
        <f>SUM(C39:H39)</f>
        <v/>
      </c>
      <c r="P39">
        <f>I39</f>
        <v/>
      </c>
      <c r="Q39">
        <f>J39</f>
        <v/>
      </c>
      <c r="R39">
        <f>SUM(K39:M39)</f>
        <v/>
      </c>
      <c r="S39">
        <f>SUM(O39:R39)</f>
        <v/>
      </c>
      <c r="T39" s="3">
        <f>IF(S39=0,"",O39/S39)</f>
        <v/>
      </c>
      <c r="U39" s="3">
        <f>IF(S39=0,"",P39/S39)</f>
        <v/>
      </c>
      <c r="V39" s="3">
        <f>IF(S39=0,"",Q39/S39)</f>
        <v/>
      </c>
      <c r="W39" s="3">
        <f>IF(S39=0,"",R39/S39)</f>
        <v/>
      </c>
      <c r="X39" s="4">
        <f>IF(S39=0,"",T39*Pesos!$B$2+U39*Pesos!$B$3+V39*Pesos!$B$4+W39*Pesos!$B$5)</f>
        <v/>
      </c>
    </row>
    <row r="40">
      <c r="A40" s="2" t="n">
        <v>38</v>
      </c>
      <c r="B40" t="n">
        <v>9</v>
      </c>
      <c r="C40" t="n">
        <v>595</v>
      </c>
      <c r="D40" t="n">
        <v>1535</v>
      </c>
      <c r="E40" t="n">
        <v>1450</v>
      </c>
      <c r="F40" t="n">
        <v>1080</v>
      </c>
      <c r="G40" t="n">
        <v>1245</v>
      </c>
      <c r="H40" t="n">
        <v>1105</v>
      </c>
      <c r="I40" t="n">
        <v>3950</v>
      </c>
      <c r="J40" t="n">
        <v>3225</v>
      </c>
      <c r="K40" t="n">
        <v>1285</v>
      </c>
      <c r="L40" t="n">
        <v>805</v>
      </c>
      <c r="M40" t="n">
        <v>550</v>
      </c>
      <c r="N40" s="6" t="n">
        <v>16820</v>
      </c>
      <c r="O40">
        <f>SUM(C40:H40)</f>
        <v/>
      </c>
      <c r="P40">
        <f>I40</f>
        <v/>
      </c>
      <c r="Q40">
        <f>J40</f>
        <v/>
      </c>
      <c r="R40">
        <f>SUM(K40:M40)</f>
        <v/>
      </c>
      <c r="S40">
        <f>SUM(O40:R40)</f>
        <v/>
      </c>
      <c r="T40" s="3">
        <f>IF(S40=0,"",O40/S40)</f>
        <v/>
      </c>
      <c r="U40" s="3">
        <f>IF(S40=0,"",P40/S40)</f>
        <v/>
      </c>
      <c r="V40" s="3">
        <f>IF(S40=0,"",Q40/S40)</f>
        <v/>
      </c>
      <c r="W40" s="3">
        <f>IF(S40=0,"",R40/S40)</f>
        <v/>
      </c>
      <c r="X40" s="4">
        <f>IF(S40=0,"",T40*Pesos!$B$2+U40*Pesos!$B$3+V40*Pesos!$B$4+W40*Pesos!$B$5)</f>
        <v/>
      </c>
    </row>
    <row r="41">
      <c r="A41" s="2" t="n">
        <v>39</v>
      </c>
      <c r="B41" t="n">
        <v>15</v>
      </c>
      <c r="C41" t="n">
        <v>2095</v>
      </c>
      <c r="D41" t="n">
        <v>1825</v>
      </c>
      <c r="E41" t="n">
        <v>1885</v>
      </c>
      <c r="F41" t="n">
        <v>2070</v>
      </c>
      <c r="G41" t="n">
        <v>2410</v>
      </c>
      <c r="H41" t="n">
        <v>3145</v>
      </c>
      <c r="I41" t="n">
        <v>8810</v>
      </c>
      <c r="J41" t="n">
        <v>7720</v>
      </c>
      <c r="K41" t="n">
        <v>2265</v>
      </c>
      <c r="L41" t="n">
        <v>855</v>
      </c>
      <c r="M41" t="n">
        <v>965</v>
      </c>
      <c r="N41" s="6" t="n">
        <v>34040</v>
      </c>
      <c r="O41">
        <f>SUM(C41:H41)</f>
        <v/>
      </c>
      <c r="P41">
        <f>I41</f>
        <v/>
      </c>
      <c r="Q41">
        <f>J41</f>
        <v/>
      </c>
      <c r="R41">
        <f>SUM(K41:M41)</f>
        <v/>
      </c>
      <c r="S41">
        <f>SUM(O41:R41)</f>
        <v/>
      </c>
      <c r="T41" s="3">
        <f>IF(S41=0,"",O41/S41)</f>
        <v/>
      </c>
      <c r="U41" s="3">
        <f>IF(S41=0,"",P41/S41)</f>
        <v/>
      </c>
      <c r="V41" s="3">
        <f>IF(S41=0,"",Q41/S41)</f>
        <v/>
      </c>
      <c r="W41" s="3">
        <f>IF(S41=0,"",R41/S41)</f>
        <v/>
      </c>
      <c r="X41" s="4">
        <f>IF(S41=0,"",T41*Pesos!$B$2+U41*Pesos!$B$3+V41*Pesos!$B$4+W41*Pesos!$B$5)</f>
        <v/>
      </c>
    </row>
    <row r="42">
      <c r="A42" s="2" t="n">
        <v>40</v>
      </c>
      <c r="B42" t="n">
        <v>8</v>
      </c>
      <c r="C42" t="n">
        <v>635</v>
      </c>
      <c r="D42" t="n">
        <v>520</v>
      </c>
      <c r="E42" t="n">
        <v>405</v>
      </c>
      <c r="F42" t="n">
        <v>510</v>
      </c>
      <c r="G42" t="n">
        <v>420</v>
      </c>
      <c r="H42" t="n">
        <v>675</v>
      </c>
      <c r="I42" t="n">
        <v>2340</v>
      </c>
      <c r="J42" t="n">
        <v>2550</v>
      </c>
      <c r="K42" t="n">
        <v>330</v>
      </c>
      <c r="L42" t="n">
        <v>160</v>
      </c>
      <c r="M42" t="n">
        <v>240</v>
      </c>
      <c r="N42" s="6" t="n">
        <v>8790</v>
      </c>
      <c r="O42">
        <f>SUM(C42:H42)</f>
        <v/>
      </c>
      <c r="P42">
        <f>I42</f>
        <v/>
      </c>
      <c r="Q42">
        <f>J42</f>
        <v/>
      </c>
      <c r="R42">
        <f>SUM(K42:M42)</f>
        <v/>
      </c>
      <c r="S42">
        <f>SUM(O42:R42)</f>
        <v/>
      </c>
      <c r="T42" s="3">
        <f>IF(S42=0,"",O42/S42)</f>
        <v/>
      </c>
      <c r="U42" s="3">
        <f>IF(S42=0,"",P42/S42)</f>
        <v/>
      </c>
      <c r="V42" s="3">
        <f>IF(S42=0,"",Q42/S42)</f>
        <v/>
      </c>
      <c r="W42" s="3">
        <f>IF(S42=0,"",R42/S42)</f>
        <v/>
      </c>
      <c r="X42" s="4">
        <f>IF(S42=0,"",T42*Pesos!$B$2+U42*Pesos!$B$3+V42*Pesos!$B$4+W42*Pesos!$B$5)</f>
        <v/>
      </c>
    </row>
    <row r="43">
      <c r="A43" s="2" t="n">
        <v>41</v>
      </c>
      <c r="B43" t="n">
        <v>9</v>
      </c>
      <c r="C43" t="n">
        <v>850</v>
      </c>
      <c r="D43" t="n">
        <v>1445</v>
      </c>
      <c r="E43" t="n">
        <v>1260</v>
      </c>
      <c r="F43" t="n">
        <v>1085</v>
      </c>
      <c r="G43" t="n">
        <v>1325</v>
      </c>
      <c r="H43" t="n">
        <v>895</v>
      </c>
      <c r="I43" t="n">
        <v>3290</v>
      </c>
      <c r="J43" t="n">
        <v>3185</v>
      </c>
      <c r="K43" t="n">
        <v>1035</v>
      </c>
      <c r="L43" t="n">
        <v>415</v>
      </c>
      <c r="M43" t="n">
        <v>365</v>
      </c>
      <c r="N43" s="6" t="n">
        <v>15155</v>
      </c>
      <c r="O43">
        <f>SUM(C43:H43)</f>
        <v/>
      </c>
      <c r="P43">
        <f>I43</f>
        <v/>
      </c>
      <c r="Q43">
        <f>J43</f>
        <v/>
      </c>
      <c r="R43">
        <f>SUM(K43:M43)</f>
        <v/>
      </c>
      <c r="S43">
        <f>SUM(O43:R43)</f>
        <v/>
      </c>
      <c r="T43" s="3">
        <f>IF(S43=0,"",O43/S43)</f>
        <v/>
      </c>
      <c r="U43" s="3">
        <f>IF(S43=0,"",P43/S43)</f>
        <v/>
      </c>
      <c r="V43" s="3">
        <f>IF(S43=0,"",Q43/S43)</f>
        <v/>
      </c>
      <c r="W43" s="3">
        <f>IF(S43=0,"",R43/S43)</f>
        <v/>
      </c>
      <c r="X43" s="4">
        <f>IF(S43=0,"",T43*Pesos!$B$2+U43*Pesos!$B$3+V43*Pesos!$B$4+W43*Pesos!$B$5)</f>
        <v/>
      </c>
    </row>
    <row r="44">
      <c r="A44" s="2" t="n">
        <v>42</v>
      </c>
      <c r="B44" t="n">
        <v>7</v>
      </c>
      <c r="C44" t="n">
        <v>1440</v>
      </c>
      <c r="D44" t="n">
        <v>430</v>
      </c>
      <c r="E44" t="n">
        <v>440</v>
      </c>
      <c r="F44" t="n">
        <v>135</v>
      </c>
      <c r="G44" t="n">
        <v>715</v>
      </c>
      <c r="H44" t="n">
        <v>440</v>
      </c>
      <c r="I44" t="n">
        <v>2695</v>
      </c>
      <c r="J44" t="n">
        <v>2480</v>
      </c>
      <c r="K44" t="n">
        <v>610</v>
      </c>
      <c r="L44" t="n">
        <v>895</v>
      </c>
      <c r="M44" t="n">
        <v>365</v>
      </c>
      <c r="N44" s="6" t="n">
        <v>10640</v>
      </c>
      <c r="O44">
        <f>SUM(C44:H44)</f>
        <v/>
      </c>
      <c r="P44">
        <f>I44</f>
        <v/>
      </c>
      <c r="Q44">
        <f>J44</f>
        <v/>
      </c>
      <c r="R44">
        <f>SUM(K44:M44)</f>
        <v/>
      </c>
      <c r="S44">
        <f>SUM(O44:R44)</f>
        <v/>
      </c>
      <c r="T44" s="3">
        <f>IF(S44=0,"",O44/S44)</f>
        <v/>
      </c>
      <c r="U44" s="3">
        <f>IF(S44=0,"",P44/S44)</f>
        <v/>
      </c>
      <c r="V44" s="3">
        <f>IF(S44=0,"",Q44/S44)</f>
        <v/>
      </c>
      <c r="W44" s="3">
        <f>IF(S44=0,"",R44/S44)</f>
        <v/>
      </c>
      <c r="X44" s="4">
        <f>IF(S44=0,"",T44*Pesos!$B$2+U44*Pesos!$B$3+V44*Pesos!$B$4+W44*Pesos!$B$5)</f>
        <v/>
      </c>
    </row>
    <row r="45">
      <c r="A45" s="2" t="n">
        <v>43</v>
      </c>
      <c r="B45" t="n">
        <v>8</v>
      </c>
      <c r="C45" t="n">
        <v>495</v>
      </c>
      <c r="D45" t="n">
        <v>790</v>
      </c>
      <c r="E45" t="n">
        <v>550</v>
      </c>
      <c r="F45" t="n">
        <v>870</v>
      </c>
      <c r="G45" t="n">
        <v>965</v>
      </c>
      <c r="H45" t="n">
        <v>745</v>
      </c>
      <c r="I45" t="n">
        <v>3525</v>
      </c>
      <c r="J45" t="n">
        <v>2390</v>
      </c>
      <c r="K45" t="n">
        <v>1160</v>
      </c>
      <c r="L45" t="n">
        <v>1455</v>
      </c>
      <c r="M45" t="n">
        <v>340</v>
      </c>
      <c r="N45" s="6" t="n">
        <v>13295</v>
      </c>
      <c r="O45">
        <f>SUM(C45:H45)</f>
        <v/>
      </c>
      <c r="P45">
        <f>I45</f>
        <v/>
      </c>
      <c r="Q45">
        <f>J45</f>
        <v/>
      </c>
      <c r="R45">
        <f>SUM(K45:M45)</f>
        <v/>
      </c>
      <c r="S45">
        <f>SUM(O45:R45)</f>
        <v/>
      </c>
      <c r="T45" s="3">
        <f>IF(S45=0,"",O45/S45)</f>
        <v/>
      </c>
      <c r="U45" s="3">
        <f>IF(S45=0,"",P45/S45)</f>
        <v/>
      </c>
      <c r="V45" s="3">
        <f>IF(S45=0,"",Q45/S45)</f>
        <v/>
      </c>
      <c r="W45" s="3">
        <f>IF(S45=0,"",R45/S45)</f>
        <v/>
      </c>
      <c r="X45" s="4">
        <f>IF(S45=0,"",T45*Pesos!$B$2+U45*Pesos!$B$3+V45*Pesos!$B$4+W45*Pesos!$B$5)</f>
        <v/>
      </c>
    </row>
    <row r="46">
      <c r="A46" s="2" t="n">
        <v>44</v>
      </c>
      <c r="B46" t="n">
        <v>9</v>
      </c>
      <c r="C46" t="n">
        <v>1430</v>
      </c>
      <c r="D46" t="n">
        <v>1300</v>
      </c>
      <c r="E46" t="n">
        <v>1265</v>
      </c>
      <c r="F46" t="n">
        <v>1475</v>
      </c>
      <c r="G46" t="n">
        <v>1285</v>
      </c>
      <c r="H46" t="n">
        <v>995</v>
      </c>
      <c r="I46" t="n">
        <v>2850</v>
      </c>
      <c r="J46" t="n">
        <v>2315</v>
      </c>
      <c r="K46" t="n">
        <v>845</v>
      </c>
      <c r="L46" t="n">
        <v>860</v>
      </c>
      <c r="M46" t="n">
        <v>1070</v>
      </c>
      <c r="N46" s="6" t="n">
        <v>15700</v>
      </c>
      <c r="O46">
        <f>SUM(C46:H46)</f>
        <v/>
      </c>
      <c r="P46">
        <f>I46</f>
        <v/>
      </c>
      <c r="Q46">
        <f>J46</f>
        <v/>
      </c>
      <c r="R46">
        <f>SUM(K46:M46)</f>
        <v/>
      </c>
      <c r="S46">
        <f>SUM(O46:R46)</f>
        <v/>
      </c>
      <c r="T46" s="3">
        <f>IF(S46=0,"",O46/S46)</f>
        <v/>
      </c>
      <c r="U46" s="3">
        <f>IF(S46=0,"",P46/S46)</f>
        <v/>
      </c>
      <c r="V46" s="3">
        <f>IF(S46=0,"",Q46/S46)</f>
        <v/>
      </c>
      <c r="W46" s="3">
        <f>IF(S46=0,"",R46/S46)</f>
        <v/>
      </c>
      <c r="X46" s="4">
        <f>IF(S46=0,"",T46*Pesos!$B$2+U46*Pesos!$B$3+V46*Pesos!$B$4+W46*Pesos!$B$5)</f>
        <v/>
      </c>
    </row>
    <row r="47">
      <c r="A47" s="2" t="n">
        <v>45</v>
      </c>
      <c r="B47" t="n">
        <v>8</v>
      </c>
      <c r="C47" t="n">
        <v>630</v>
      </c>
      <c r="D47" t="n">
        <v>1285</v>
      </c>
      <c r="E47" t="n">
        <v>1195</v>
      </c>
      <c r="F47" t="n">
        <v>875</v>
      </c>
      <c r="G47" t="n">
        <v>625</v>
      </c>
      <c r="H47" t="n">
        <v>1625</v>
      </c>
      <c r="I47" t="n">
        <v>3180</v>
      </c>
      <c r="J47" t="n">
        <v>1520</v>
      </c>
      <c r="K47" t="n">
        <v>1545</v>
      </c>
      <c r="L47" t="n">
        <v>1595</v>
      </c>
      <c r="M47" t="n">
        <v>210</v>
      </c>
      <c r="N47" s="6" t="n">
        <v>14295</v>
      </c>
      <c r="O47">
        <f>SUM(C47:H47)</f>
        <v/>
      </c>
      <c r="P47">
        <f>I47</f>
        <v/>
      </c>
      <c r="Q47">
        <f>J47</f>
        <v/>
      </c>
      <c r="R47">
        <f>SUM(K47:M47)</f>
        <v/>
      </c>
      <c r="S47">
        <f>SUM(O47:R47)</f>
        <v/>
      </c>
      <c r="T47" s="3">
        <f>IF(S47=0,"",O47/S47)</f>
        <v/>
      </c>
      <c r="U47" s="3">
        <f>IF(S47=0,"",P47/S47)</f>
        <v/>
      </c>
      <c r="V47" s="3">
        <f>IF(S47=0,"",Q47/S47)</f>
        <v/>
      </c>
      <c r="W47" s="3">
        <f>IF(S47=0,"",R47/S47)</f>
        <v/>
      </c>
      <c r="X47" s="4">
        <f>IF(S47=0,"",T47*Pesos!$B$2+U47*Pesos!$B$3+V47*Pesos!$B$4+W47*Pesos!$B$5)</f>
        <v/>
      </c>
    </row>
    <row r="48">
      <c r="A48" s="2" t="n">
        <v>46</v>
      </c>
      <c r="B48" t="n">
        <v>9</v>
      </c>
      <c r="C48" t="n">
        <v>1545</v>
      </c>
      <c r="D48" t="n">
        <v>1420</v>
      </c>
      <c r="E48" t="n">
        <v>1125</v>
      </c>
      <c r="F48" t="n">
        <v>935</v>
      </c>
      <c r="G48" t="n">
        <v>1130</v>
      </c>
      <c r="H48" t="n">
        <v>1430</v>
      </c>
      <c r="I48" t="n">
        <v>3780</v>
      </c>
      <c r="J48" t="n">
        <v>3505</v>
      </c>
      <c r="K48" t="n">
        <v>1310</v>
      </c>
      <c r="L48" t="n">
        <v>935</v>
      </c>
      <c r="M48" t="n">
        <v>865</v>
      </c>
      <c r="N48" s="6" t="n">
        <v>17980</v>
      </c>
      <c r="O48">
        <f>SUM(C48:H48)</f>
        <v/>
      </c>
      <c r="P48">
        <f>I48</f>
        <v/>
      </c>
      <c r="Q48">
        <f>J48</f>
        <v/>
      </c>
      <c r="R48">
        <f>SUM(K48:M48)</f>
        <v/>
      </c>
      <c r="S48">
        <f>SUM(O48:R48)</f>
        <v/>
      </c>
      <c r="T48" s="3">
        <f>IF(S48=0,"",O48/S48)</f>
        <v/>
      </c>
      <c r="U48" s="3">
        <f>IF(S48=0,"",P48/S48)</f>
        <v/>
      </c>
      <c r="V48" s="3">
        <f>IF(S48=0,"",Q48/S48)</f>
        <v/>
      </c>
      <c r="W48" s="3">
        <f>IF(S48=0,"",R48/S48)</f>
        <v/>
      </c>
      <c r="X48" s="4">
        <f>IF(S48=0,"",T48*Pesos!$B$2+U48*Pesos!$B$3+V48*Pesos!$B$4+W48*Pesos!$B$5)</f>
        <v/>
      </c>
    </row>
    <row r="49">
      <c r="A49" s="2" t="n">
        <v>47</v>
      </c>
      <c r="B49" t="n">
        <v>11</v>
      </c>
      <c r="C49" t="n">
        <v>2320</v>
      </c>
      <c r="D49" t="n">
        <v>2955</v>
      </c>
      <c r="E49" t="n">
        <v>3680</v>
      </c>
      <c r="F49" t="n">
        <v>2440</v>
      </c>
      <c r="G49" t="n">
        <v>2080</v>
      </c>
      <c r="H49" t="n">
        <v>920</v>
      </c>
      <c r="I49" t="n">
        <v>3635</v>
      </c>
      <c r="J49" t="n">
        <v>3490</v>
      </c>
      <c r="K49" t="n">
        <v>545</v>
      </c>
      <c r="L49" s="7" t="n">
        <v>45</v>
      </c>
      <c r="M49" s="7" t="n">
        <v>30</v>
      </c>
      <c r="N49" s="6" t="n">
        <v>22135</v>
      </c>
      <c r="O49">
        <f>SUM(C49:H49)</f>
        <v/>
      </c>
      <c r="P49">
        <f>I49</f>
        <v/>
      </c>
      <c r="Q49">
        <f>J49</f>
        <v/>
      </c>
      <c r="R49">
        <f>SUM(K49:M49)</f>
        <v/>
      </c>
      <c r="S49">
        <f>SUM(O49:R49)</f>
        <v/>
      </c>
      <c r="T49" s="3">
        <f>IF(S49=0,"",O49/S49)</f>
        <v/>
      </c>
      <c r="U49" s="3">
        <f>IF(S49=0,"",P49/S49)</f>
        <v/>
      </c>
      <c r="V49" s="3">
        <f>IF(S49=0,"",Q49/S49)</f>
        <v/>
      </c>
      <c r="W49" s="3">
        <f>IF(S49=0,"",R49/S49)</f>
        <v/>
      </c>
      <c r="X49" s="4">
        <f>IF(S49=0,"",T49*Pesos!$B$2+U49*Pesos!$B$3+V49*Pesos!$B$4+W49*Pesos!$B$5)</f>
        <v/>
      </c>
    </row>
    <row r="50">
      <c r="A50" s="2" t="n">
        <v>48</v>
      </c>
      <c r="B50" t="n">
        <v>8</v>
      </c>
      <c r="C50" t="n">
        <v>50</v>
      </c>
      <c r="D50" t="n">
        <v>130</v>
      </c>
      <c r="E50" t="n">
        <v>140</v>
      </c>
      <c r="F50" t="n">
        <v>115</v>
      </c>
      <c r="G50" t="n">
        <v>65</v>
      </c>
      <c r="H50" t="n">
        <v>80</v>
      </c>
      <c r="I50" t="n">
        <v>390</v>
      </c>
      <c r="J50" t="n">
        <v>240</v>
      </c>
      <c r="K50" t="n">
        <v>65</v>
      </c>
      <c r="L50" t="n">
        <v>85</v>
      </c>
      <c r="M50" t="n">
        <v>95</v>
      </c>
      <c r="N50" s="6" t="n">
        <v>1460</v>
      </c>
      <c r="O50">
        <f>SUM(C50:H50)</f>
        <v/>
      </c>
      <c r="P50">
        <f>I50</f>
        <v/>
      </c>
      <c r="Q50">
        <f>J50</f>
        <v/>
      </c>
      <c r="R50">
        <f>SUM(K50:M50)</f>
        <v/>
      </c>
      <c r="S50">
        <f>SUM(O50:R50)</f>
        <v/>
      </c>
      <c r="T50" s="3">
        <f>IF(S50=0,"",O50/S50)</f>
        <v/>
      </c>
      <c r="U50" s="3">
        <f>IF(S50=0,"",P50/S50)</f>
        <v/>
      </c>
      <c r="V50" s="3">
        <f>IF(S50=0,"",Q50/S50)</f>
        <v/>
      </c>
      <c r="W50" s="3">
        <f>IF(S50=0,"",R50/S50)</f>
        <v/>
      </c>
      <c r="X50" s="4">
        <f>IF(S50=0,"",T50*Pesos!$B$2+U50*Pesos!$B$3+V50*Pesos!$B$4+W50*Pesos!$B$5)</f>
        <v/>
      </c>
    </row>
    <row r="51">
      <c r="A51" s="2" t="n">
        <v>49</v>
      </c>
      <c r="B51" t="n">
        <v>14</v>
      </c>
      <c r="C51" t="n">
        <v>1145</v>
      </c>
      <c r="D51" t="n">
        <v>2130</v>
      </c>
      <c r="E51" t="n">
        <v>2425</v>
      </c>
      <c r="F51" t="n">
        <v>2030</v>
      </c>
      <c r="G51" t="n">
        <v>2720</v>
      </c>
      <c r="H51" t="n">
        <v>2985</v>
      </c>
      <c r="I51" t="n">
        <v>8460</v>
      </c>
      <c r="J51" t="n">
        <v>7265</v>
      </c>
      <c r="K51" t="n">
        <v>1385</v>
      </c>
      <c r="L51" t="n">
        <v>770</v>
      </c>
      <c r="M51" t="n">
        <v>615</v>
      </c>
      <c r="N51" s="6" t="n">
        <v>31930</v>
      </c>
      <c r="O51">
        <f>SUM(C51:H51)</f>
        <v/>
      </c>
      <c r="P51">
        <f>I51</f>
        <v/>
      </c>
      <c r="Q51">
        <f>J51</f>
        <v/>
      </c>
      <c r="R51">
        <f>SUM(K51:M51)</f>
        <v/>
      </c>
      <c r="S51">
        <f>SUM(O51:R51)</f>
        <v/>
      </c>
      <c r="T51" s="3">
        <f>IF(S51=0,"",O51/S51)</f>
        <v/>
      </c>
      <c r="U51" s="3">
        <f>IF(S51=0,"",P51/S51)</f>
        <v/>
      </c>
      <c r="V51" s="3">
        <f>IF(S51=0,"",Q51/S51)</f>
        <v/>
      </c>
      <c r="W51" s="3">
        <f>IF(S51=0,"",R51/S51)</f>
        <v/>
      </c>
      <c r="X51" s="4">
        <f>IF(S51=0,"",T51*Pesos!$B$2+U51*Pesos!$B$3+V51*Pesos!$B$4+W51*Pesos!$B$5)</f>
        <v/>
      </c>
    </row>
    <row r="52">
      <c r="A52" s="2" t="n">
        <v>50</v>
      </c>
      <c r="B52" t="n">
        <v>12</v>
      </c>
      <c r="C52" t="n">
        <v>645</v>
      </c>
      <c r="D52" t="n">
        <v>930</v>
      </c>
      <c r="E52" t="n">
        <v>850</v>
      </c>
      <c r="F52" t="n">
        <v>825</v>
      </c>
      <c r="G52" t="n">
        <v>935</v>
      </c>
      <c r="H52" t="n">
        <v>1070</v>
      </c>
      <c r="I52" t="n">
        <v>2595</v>
      </c>
      <c r="J52" t="n">
        <v>3130</v>
      </c>
      <c r="K52" t="n">
        <v>1585</v>
      </c>
      <c r="L52" t="n">
        <v>1255</v>
      </c>
      <c r="M52" t="n">
        <v>1200</v>
      </c>
      <c r="N52" s="6" t="n">
        <v>15020</v>
      </c>
      <c r="O52">
        <f>SUM(C52:H52)</f>
        <v/>
      </c>
      <c r="P52">
        <f>I52</f>
        <v/>
      </c>
      <c r="Q52">
        <f>J52</f>
        <v/>
      </c>
      <c r="R52">
        <f>SUM(K52:M52)</f>
        <v/>
      </c>
      <c r="S52">
        <f>SUM(O52:R52)</f>
        <v/>
      </c>
      <c r="T52" s="3">
        <f>IF(S52=0,"",O52/S52)</f>
        <v/>
      </c>
      <c r="U52" s="3">
        <f>IF(S52=0,"",P52/S52)</f>
        <v/>
      </c>
      <c r="V52" s="3">
        <f>IF(S52=0,"",Q52/S52)</f>
        <v/>
      </c>
      <c r="W52" s="3">
        <f>IF(S52=0,"",R52/S52)</f>
        <v/>
      </c>
      <c r="X52" s="4">
        <f>IF(S52=0,"",T52*Pesos!$B$2+U52*Pesos!$B$3+V52*Pesos!$B$4+W52*Pesos!$B$5)</f>
        <v/>
      </c>
    </row>
    <row r="53">
      <c r="A53" s="2" t="n">
        <v>51</v>
      </c>
      <c r="B53" t="n">
        <v>10</v>
      </c>
      <c r="C53" t="n">
        <v>525</v>
      </c>
      <c r="D53" t="n">
        <v>1485</v>
      </c>
      <c r="E53" t="n">
        <v>925</v>
      </c>
      <c r="F53" t="n">
        <v>1035</v>
      </c>
      <c r="G53" t="n">
        <v>905</v>
      </c>
      <c r="H53" t="n">
        <v>880</v>
      </c>
      <c r="I53" t="n">
        <v>4590</v>
      </c>
      <c r="J53" t="n">
        <v>3320</v>
      </c>
      <c r="K53" t="n">
        <v>2640</v>
      </c>
      <c r="L53" t="n">
        <v>700</v>
      </c>
      <c r="M53" t="n">
        <v>100</v>
      </c>
      <c r="N53" s="6" t="n">
        <v>17105</v>
      </c>
      <c r="O53">
        <f>SUM(C53:H53)</f>
        <v/>
      </c>
      <c r="P53">
        <f>I53</f>
        <v/>
      </c>
      <c r="Q53">
        <f>J53</f>
        <v/>
      </c>
      <c r="R53">
        <f>SUM(K53:M53)</f>
        <v/>
      </c>
      <c r="S53">
        <f>SUM(O53:R53)</f>
        <v/>
      </c>
      <c r="T53" s="3">
        <f>IF(S53=0,"",O53/S53)</f>
        <v/>
      </c>
      <c r="U53" s="3">
        <f>IF(S53=0,"",P53/S53)</f>
        <v/>
      </c>
      <c r="V53" s="3">
        <f>IF(S53=0,"",Q53/S53)</f>
        <v/>
      </c>
      <c r="W53" s="3">
        <f>IF(S53=0,"",R53/S53)</f>
        <v/>
      </c>
      <c r="X53" s="4">
        <f>IF(S53=0,"",T53*Pesos!$B$2+U53*Pesos!$B$3+V53*Pesos!$B$4+W53*Pesos!$B$5)</f>
        <v/>
      </c>
    </row>
    <row r="54">
      <c r="A54" s="2" t="n">
        <v>52</v>
      </c>
      <c r="B54" t="n">
        <v>8</v>
      </c>
      <c r="C54" t="n">
        <v>835</v>
      </c>
      <c r="D54" t="n">
        <v>1730</v>
      </c>
      <c r="E54" t="n">
        <v>900</v>
      </c>
      <c r="F54" t="n">
        <v>840</v>
      </c>
      <c r="G54" t="n">
        <v>1540</v>
      </c>
      <c r="H54" t="n">
        <v>1035</v>
      </c>
      <c r="I54" t="n">
        <v>3335</v>
      </c>
      <c r="J54" t="n">
        <v>2910</v>
      </c>
      <c r="K54" t="n">
        <v>2535</v>
      </c>
      <c r="L54" t="n">
        <v>300</v>
      </c>
      <c r="M54" t="n">
        <v>60</v>
      </c>
      <c r="N54" s="6" t="n">
        <v>16020</v>
      </c>
      <c r="O54">
        <f>SUM(C54:H54)</f>
        <v/>
      </c>
      <c r="P54">
        <f>I54</f>
        <v/>
      </c>
      <c r="Q54">
        <f>J54</f>
        <v/>
      </c>
      <c r="R54">
        <f>SUM(K54:M54)</f>
        <v/>
      </c>
      <c r="S54">
        <f>SUM(O54:R54)</f>
        <v/>
      </c>
      <c r="T54" s="3">
        <f>IF(S54=0,"",O54/S54)</f>
        <v/>
      </c>
      <c r="U54" s="3">
        <f>IF(S54=0,"",P54/S54)</f>
        <v/>
      </c>
      <c r="V54" s="3">
        <f>IF(S54=0,"",Q54/S54)</f>
        <v/>
      </c>
      <c r="W54" s="3">
        <f>IF(S54=0,"",R54/S54)</f>
        <v/>
      </c>
      <c r="X54" s="4">
        <f>IF(S54=0,"",T54*Pesos!$B$2+U54*Pesos!$B$3+V54*Pesos!$B$4+W54*Pesos!$B$5)</f>
        <v/>
      </c>
    </row>
    <row r="55">
      <c r="A55" s="2" t="n">
        <v>53</v>
      </c>
      <c r="B55" t="n">
        <v>7</v>
      </c>
      <c r="C55" t="n">
        <v>435</v>
      </c>
      <c r="D55" t="n">
        <v>1225</v>
      </c>
      <c r="E55" t="n">
        <v>870</v>
      </c>
      <c r="F55" t="n">
        <v>555</v>
      </c>
      <c r="G55" t="n">
        <v>830</v>
      </c>
      <c r="H55" t="n">
        <v>1265</v>
      </c>
      <c r="I55" t="n">
        <v>5360</v>
      </c>
      <c r="J55" t="n">
        <v>2650</v>
      </c>
      <c r="K55" s="7" t="n">
        <v>10</v>
      </c>
      <c r="L55" s="7" t="n">
        <v>25</v>
      </c>
      <c r="M55" s="7" t="n">
        <v>35</v>
      </c>
      <c r="N55" s="6" t="n">
        <v>13265</v>
      </c>
      <c r="O55">
        <f>SUM(C55:H55)</f>
        <v/>
      </c>
      <c r="P55">
        <f>I55</f>
        <v/>
      </c>
      <c r="Q55">
        <f>J55</f>
        <v/>
      </c>
      <c r="R55">
        <f>SUM(K55:M55)</f>
        <v/>
      </c>
      <c r="S55">
        <f>SUM(O55:R55)</f>
        <v/>
      </c>
      <c r="T55" s="3">
        <f>IF(S55=0,"",O55/S55)</f>
        <v/>
      </c>
      <c r="U55" s="3">
        <f>IF(S55=0,"",P55/S55)</f>
        <v/>
      </c>
      <c r="V55" s="3">
        <f>IF(S55=0,"",Q55/S55)</f>
        <v/>
      </c>
      <c r="W55" s="3">
        <f>IF(S55=0,"",R55/S55)</f>
        <v/>
      </c>
      <c r="X55" s="4">
        <f>IF(S55=0,"",T55*Pesos!$B$2+U55*Pesos!$B$3+V55*Pesos!$B$4+W55*Pesos!$B$5)</f>
        <v/>
      </c>
    </row>
    <row r="56">
      <c r="A56" s="2" t="n">
        <v>54</v>
      </c>
      <c r="B56" t="n">
        <v>9</v>
      </c>
      <c r="C56" t="n">
        <v>195</v>
      </c>
      <c r="D56" t="n">
        <v>255</v>
      </c>
      <c r="E56" t="n">
        <v>335</v>
      </c>
      <c r="F56" t="n">
        <v>305</v>
      </c>
      <c r="G56" t="n">
        <v>175</v>
      </c>
      <c r="H56" t="n">
        <v>315</v>
      </c>
      <c r="I56" t="n">
        <v>845</v>
      </c>
      <c r="J56" t="n">
        <v>725</v>
      </c>
      <c r="K56" t="n">
        <v>325</v>
      </c>
      <c r="L56" t="n">
        <v>305</v>
      </c>
      <c r="M56" t="n">
        <v>405</v>
      </c>
      <c r="N56" s="6" t="n">
        <v>4180</v>
      </c>
      <c r="O56">
        <f>SUM(C56:H56)</f>
        <v/>
      </c>
      <c r="P56">
        <f>I56</f>
        <v/>
      </c>
      <c r="Q56">
        <f>J56</f>
        <v/>
      </c>
      <c r="R56">
        <f>SUM(K56:M56)</f>
        <v/>
      </c>
      <c r="S56">
        <f>SUM(O56:R56)</f>
        <v/>
      </c>
      <c r="T56" s="3">
        <f>IF(S56=0,"",O56/S56)</f>
        <v/>
      </c>
      <c r="U56" s="3">
        <f>IF(S56=0,"",P56/S56)</f>
        <v/>
      </c>
      <c r="V56" s="3">
        <f>IF(S56=0,"",Q56/S56)</f>
        <v/>
      </c>
      <c r="W56" s="3">
        <f>IF(S56=0,"",R56/S56)</f>
        <v/>
      </c>
      <c r="X56" s="4">
        <f>IF(S56=0,"",T56*Pesos!$B$2+U56*Pesos!$B$3+V56*Pesos!$B$4+W56*Pesos!$B$5)</f>
        <v/>
      </c>
    </row>
    <row r="57">
      <c r="A57" s="2" t="n">
        <v>55</v>
      </c>
      <c r="B57" t="n">
        <v>9</v>
      </c>
      <c r="C57" t="n">
        <v>925</v>
      </c>
      <c r="D57" t="n">
        <v>1210</v>
      </c>
      <c r="E57" t="n">
        <v>1365</v>
      </c>
      <c r="F57" t="n">
        <v>1235</v>
      </c>
      <c r="G57" t="n">
        <v>1475</v>
      </c>
      <c r="H57" t="n">
        <v>1275</v>
      </c>
      <c r="I57" t="n">
        <v>4970</v>
      </c>
      <c r="J57" t="n">
        <v>4085</v>
      </c>
      <c r="K57" t="n">
        <v>1105</v>
      </c>
      <c r="L57" t="n">
        <v>200</v>
      </c>
      <c r="M57" t="n">
        <v>275</v>
      </c>
      <c r="N57" s="6" t="n">
        <v>18125</v>
      </c>
      <c r="O57">
        <f>SUM(C57:H57)</f>
        <v/>
      </c>
      <c r="P57">
        <f>I57</f>
        <v/>
      </c>
      <c r="Q57">
        <f>J57</f>
        <v/>
      </c>
      <c r="R57">
        <f>SUM(K57:M57)</f>
        <v/>
      </c>
      <c r="S57">
        <f>SUM(O57:R57)</f>
        <v/>
      </c>
      <c r="T57" s="3">
        <f>IF(S57=0,"",O57/S57)</f>
        <v/>
      </c>
      <c r="U57" s="3">
        <f>IF(S57=0,"",P57/S57)</f>
        <v/>
      </c>
      <c r="V57" s="3">
        <f>IF(S57=0,"",Q57/S57)</f>
        <v/>
      </c>
      <c r="W57" s="3">
        <f>IF(S57=0,"",R57/S57)</f>
        <v/>
      </c>
      <c r="X57" s="4">
        <f>IF(S57=0,"",T57*Pesos!$B$2+U57*Pesos!$B$3+V57*Pesos!$B$4+W57*Pesos!$B$5)</f>
        <v/>
      </c>
    </row>
    <row r="58">
      <c r="A58" s="2" t="n">
        <v>56</v>
      </c>
      <c r="B58" t="n">
        <v>7</v>
      </c>
      <c r="C58" t="n">
        <v>495</v>
      </c>
      <c r="D58" t="n">
        <v>790</v>
      </c>
      <c r="E58" t="n">
        <v>660</v>
      </c>
      <c r="F58" t="n">
        <v>475</v>
      </c>
      <c r="G58" t="n">
        <v>390</v>
      </c>
      <c r="H58" t="n">
        <v>450</v>
      </c>
      <c r="I58" t="n">
        <v>1530</v>
      </c>
      <c r="J58" t="n">
        <v>1260</v>
      </c>
      <c r="K58" t="n">
        <v>600</v>
      </c>
      <c r="L58" t="n">
        <v>440</v>
      </c>
      <c r="M58" t="n">
        <v>460</v>
      </c>
      <c r="N58" s="6" t="n">
        <v>7555</v>
      </c>
      <c r="O58">
        <f>SUM(C58:H58)</f>
        <v/>
      </c>
      <c r="P58">
        <f>I58</f>
        <v/>
      </c>
      <c r="Q58">
        <f>J58</f>
        <v/>
      </c>
      <c r="R58">
        <f>SUM(K58:M58)</f>
        <v/>
      </c>
      <c r="S58">
        <f>SUM(O58:R58)</f>
        <v/>
      </c>
      <c r="T58" s="3">
        <f>IF(S58=0,"",O58/S58)</f>
        <v/>
      </c>
      <c r="U58" s="3">
        <f>IF(S58=0,"",P58/S58)</f>
        <v/>
      </c>
      <c r="V58" s="3">
        <f>IF(S58=0,"",Q58/S58)</f>
        <v/>
      </c>
      <c r="W58" s="3">
        <f>IF(S58=0,"",R58/S58)</f>
        <v/>
      </c>
      <c r="X58" s="4">
        <f>IF(S58=0,"",T58*Pesos!$B$2+U58*Pesos!$B$3+V58*Pesos!$B$4+W58*Pesos!$B$5)</f>
        <v/>
      </c>
    </row>
    <row r="59">
      <c r="A59" s="2" t="n">
        <v>57</v>
      </c>
      <c r="B59" t="n">
        <v>7</v>
      </c>
      <c r="C59" t="n">
        <v>940</v>
      </c>
      <c r="D59" t="n">
        <v>610</v>
      </c>
      <c r="E59" t="n">
        <v>1005</v>
      </c>
      <c r="F59" t="n">
        <v>605</v>
      </c>
      <c r="G59" t="n">
        <v>750</v>
      </c>
      <c r="H59" t="n">
        <v>1135</v>
      </c>
      <c r="I59" t="n">
        <v>2180</v>
      </c>
      <c r="J59" t="n">
        <v>1510</v>
      </c>
      <c r="K59" t="n">
        <v>735</v>
      </c>
      <c r="L59" t="n">
        <v>535</v>
      </c>
      <c r="M59" t="n">
        <v>330</v>
      </c>
      <c r="N59" s="6" t="n">
        <v>10325</v>
      </c>
      <c r="O59">
        <f>SUM(C59:H59)</f>
        <v/>
      </c>
      <c r="P59">
        <f>I59</f>
        <v/>
      </c>
      <c r="Q59">
        <f>J59</f>
        <v/>
      </c>
      <c r="R59">
        <f>SUM(K59:M59)</f>
        <v/>
      </c>
      <c r="S59">
        <f>SUM(O59:R59)</f>
        <v/>
      </c>
      <c r="T59" s="3">
        <f>IF(S59=0,"",O59/S59)</f>
        <v/>
      </c>
      <c r="U59" s="3">
        <f>IF(S59=0,"",P59/S59)</f>
        <v/>
      </c>
      <c r="V59" s="3">
        <f>IF(S59=0,"",Q59/S59)</f>
        <v/>
      </c>
      <c r="W59" s="3">
        <f>IF(S59=0,"",R59/S59)</f>
        <v/>
      </c>
      <c r="X59" s="4">
        <f>IF(S59=0,"",T59*Pesos!$B$2+U59*Pesos!$B$3+V59*Pesos!$B$4+W59*Pesos!$B$5)</f>
        <v/>
      </c>
    </row>
    <row r="60">
      <c r="A60" s="2" t="n">
        <v>58</v>
      </c>
      <c r="B60" t="n">
        <v>12</v>
      </c>
      <c r="C60" t="n">
        <v>1640</v>
      </c>
      <c r="D60" t="n">
        <v>2470</v>
      </c>
      <c r="E60" t="n">
        <v>1465</v>
      </c>
      <c r="F60" t="n">
        <v>1720</v>
      </c>
      <c r="G60" t="n">
        <v>2075</v>
      </c>
      <c r="H60" t="n">
        <v>1860</v>
      </c>
      <c r="I60" t="n">
        <v>9120</v>
      </c>
      <c r="J60" t="n">
        <v>6530</v>
      </c>
      <c r="K60" t="n">
        <v>1210</v>
      </c>
      <c r="L60" t="n">
        <v>390</v>
      </c>
      <c r="M60" t="n">
        <v>405</v>
      </c>
      <c r="N60" s="6" t="n">
        <v>28885</v>
      </c>
      <c r="O60">
        <f>SUM(C60:H60)</f>
        <v/>
      </c>
      <c r="P60">
        <f>I60</f>
        <v/>
      </c>
      <c r="Q60">
        <f>J60</f>
        <v/>
      </c>
      <c r="R60">
        <f>SUM(K60:M60)</f>
        <v/>
      </c>
      <c r="S60">
        <f>SUM(O60:R60)</f>
        <v/>
      </c>
      <c r="T60" s="3">
        <f>IF(S60=0,"",O60/S60)</f>
        <v/>
      </c>
      <c r="U60" s="3">
        <f>IF(S60=0,"",P60/S60)</f>
        <v/>
      </c>
      <c r="V60" s="3">
        <f>IF(S60=0,"",Q60/S60)</f>
        <v/>
      </c>
      <c r="W60" s="3">
        <f>IF(S60=0,"",R60/S60)</f>
        <v/>
      </c>
      <c r="X60" s="4">
        <f>IF(S60=0,"",T60*Pesos!$B$2+U60*Pesos!$B$3+V60*Pesos!$B$4+W60*Pesos!$B$5)</f>
        <v/>
      </c>
    </row>
    <row r="61">
      <c r="A61" s="2" t="n">
        <v>59</v>
      </c>
      <c r="B61" t="n">
        <v>11</v>
      </c>
      <c r="C61" t="n">
        <v>1045</v>
      </c>
      <c r="D61" t="n">
        <v>1835</v>
      </c>
      <c r="E61" t="n">
        <v>1525</v>
      </c>
      <c r="F61" t="n">
        <v>1490</v>
      </c>
      <c r="G61" t="n">
        <v>2095</v>
      </c>
      <c r="H61" t="n">
        <v>2215</v>
      </c>
      <c r="I61" t="n">
        <v>5080</v>
      </c>
      <c r="J61" t="n">
        <v>3260</v>
      </c>
      <c r="K61" t="n">
        <v>1665</v>
      </c>
      <c r="L61" t="n">
        <v>915</v>
      </c>
      <c r="M61" t="n">
        <v>610</v>
      </c>
      <c r="N61" s="6" t="n">
        <v>21735</v>
      </c>
      <c r="O61">
        <f>SUM(C61:H61)</f>
        <v/>
      </c>
      <c r="P61">
        <f>I61</f>
        <v/>
      </c>
      <c r="Q61">
        <f>J61</f>
        <v/>
      </c>
      <c r="R61">
        <f>SUM(K61:M61)</f>
        <v/>
      </c>
      <c r="S61">
        <f>SUM(O61:R61)</f>
        <v/>
      </c>
      <c r="T61" s="3">
        <f>IF(S61=0,"",O61/S61)</f>
        <v/>
      </c>
      <c r="U61" s="3">
        <f>IF(S61=0,"",P61/S61)</f>
        <v/>
      </c>
      <c r="V61" s="3">
        <f>IF(S61=0,"",Q61/S61)</f>
        <v/>
      </c>
      <c r="W61" s="3">
        <f>IF(S61=0,"",R61/S61)</f>
        <v/>
      </c>
      <c r="X61" s="4">
        <f>IF(S61=0,"",T61*Pesos!$B$2+U61*Pesos!$B$3+V61*Pesos!$B$4+W61*Pesos!$B$5)</f>
        <v/>
      </c>
    </row>
    <row r="62">
      <c r="A62" s="2" t="n">
        <v>60</v>
      </c>
      <c r="B62" t="n">
        <v>12</v>
      </c>
      <c r="C62" t="n">
        <v>1030</v>
      </c>
      <c r="D62" t="n">
        <v>2225</v>
      </c>
      <c r="E62" t="n">
        <v>1470</v>
      </c>
      <c r="F62" t="n">
        <v>1585</v>
      </c>
      <c r="G62" t="n">
        <v>1995</v>
      </c>
      <c r="H62" t="n">
        <v>1790</v>
      </c>
      <c r="I62" t="n">
        <v>6030</v>
      </c>
      <c r="J62" t="n">
        <v>6445</v>
      </c>
      <c r="K62" t="n">
        <v>3060</v>
      </c>
      <c r="L62" t="n">
        <v>920</v>
      </c>
      <c r="M62" t="n">
        <v>355</v>
      </c>
      <c r="N62" s="6" t="n">
        <v>26905</v>
      </c>
      <c r="O62">
        <f>SUM(C62:H62)</f>
        <v/>
      </c>
      <c r="P62">
        <f>I62</f>
        <v/>
      </c>
      <c r="Q62">
        <f>J62</f>
        <v/>
      </c>
      <c r="R62">
        <f>SUM(K62:M62)</f>
        <v/>
      </c>
      <c r="S62">
        <f>SUM(O62:R62)</f>
        <v/>
      </c>
      <c r="T62" s="3">
        <f>IF(S62=0,"",O62/S62)</f>
        <v/>
      </c>
      <c r="U62" s="3">
        <f>IF(S62=0,"",P62/S62)</f>
        <v/>
      </c>
      <c r="V62" s="3">
        <f>IF(S62=0,"",Q62/S62)</f>
        <v/>
      </c>
      <c r="W62" s="3">
        <f>IF(S62=0,"",R62/S62)</f>
        <v/>
      </c>
      <c r="X62" s="4">
        <f>IF(S62=0,"",T62*Pesos!$B$2+U62*Pesos!$B$3+V62*Pesos!$B$4+W62*Pesos!$B$5)</f>
        <v/>
      </c>
    </row>
    <row r="63">
      <c r="A63" s="2" t="n">
        <v>61</v>
      </c>
      <c r="B63" t="n">
        <v>9</v>
      </c>
      <c r="C63" t="n">
        <v>615</v>
      </c>
      <c r="D63" t="n">
        <v>1380</v>
      </c>
      <c r="E63" t="n">
        <v>1650</v>
      </c>
      <c r="F63" t="n">
        <v>920</v>
      </c>
      <c r="G63" t="n">
        <v>1060</v>
      </c>
      <c r="H63" t="n">
        <v>1105</v>
      </c>
      <c r="I63" t="n">
        <v>3840</v>
      </c>
      <c r="J63" t="n">
        <v>2875</v>
      </c>
      <c r="K63" t="n">
        <v>1270</v>
      </c>
      <c r="L63" t="n">
        <v>875</v>
      </c>
      <c r="M63" t="n">
        <v>515</v>
      </c>
      <c r="N63" s="6" t="n">
        <v>16115</v>
      </c>
      <c r="O63">
        <f>SUM(C63:H63)</f>
        <v/>
      </c>
      <c r="P63">
        <f>I63</f>
        <v/>
      </c>
      <c r="Q63">
        <f>J63</f>
        <v/>
      </c>
      <c r="R63">
        <f>SUM(K63:M63)</f>
        <v/>
      </c>
      <c r="S63">
        <f>SUM(O63:R63)</f>
        <v/>
      </c>
      <c r="T63" s="3">
        <f>IF(S63=0,"",O63/S63)</f>
        <v/>
      </c>
      <c r="U63" s="3">
        <f>IF(S63=0,"",P63/S63)</f>
        <v/>
      </c>
      <c r="V63" s="3">
        <f>IF(S63=0,"",Q63/S63)</f>
        <v/>
      </c>
      <c r="W63" s="3">
        <f>IF(S63=0,"",R63/S63)</f>
        <v/>
      </c>
      <c r="X63" s="4">
        <f>IF(S63=0,"",T63*Pesos!$B$2+U63*Pesos!$B$3+V63*Pesos!$B$4+W63*Pesos!$B$5)</f>
        <v/>
      </c>
    </row>
    <row r="64">
      <c r="A64" s="2" t="n">
        <v>62</v>
      </c>
      <c r="B64" t="n">
        <v>9</v>
      </c>
      <c r="C64" t="n">
        <v>1235</v>
      </c>
      <c r="D64" t="n">
        <v>1250</v>
      </c>
      <c r="E64" t="n">
        <v>1760</v>
      </c>
      <c r="F64" t="n">
        <v>1000</v>
      </c>
      <c r="G64" t="n">
        <v>1315</v>
      </c>
      <c r="H64" t="n">
        <v>1425</v>
      </c>
      <c r="I64" t="n">
        <v>6200</v>
      </c>
      <c r="J64" t="n">
        <v>4565</v>
      </c>
      <c r="K64" t="n">
        <v>1085</v>
      </c>
      <c r="L64" t="n">
        <v>270</v>
      </c>
      <c r="M64" t="n">
        <v>195</v>
      </c>
      <c r="N64" s="6" t="n">
        <v>20290</v>
      </c>
      <c r="O64">
        <f>SUM(C64:H64)</f>
        <v/>
      </c>
      <c r="P64">
        <f>I64</f>
        <v/>
      </c>
      <c r="Q64">
        <f>J64</f>
        <v/>
      </c>
      <c r="R64">
        <f>SUM(K64:M64)</f>
        <v/>
      </c>
      <c r="S64">
        <f>SUM(O64:R64)</f>
        <v/>
      </c>
      <c r="T64" s="3">
        <f>IF(S64=0,"",O64/S64)</f>
        <v/>
      </c>
      <c r="U64" s="3">
        <f>IF(S64=0,"",P64/S64)</f>
        <v/>
      </c>
      <c r="V64" s="3">
        <f>IF(S64=0,"",Q64/S64)</f>
        <v/>
      </c>
      <c r="W64" s="3">
        <f>IF(S64=0,"",R64/S64)</f>
        <v/>
      </c>
      <c r="X64" s="4">
        <f>IF(S64=0,"",T64*Pesos!$B$2+U64*Pesos!$B$3+V64*Pesos!$B$4+W64*Pesos!$B$5)</f>
        <v/>
      </c>
    </row>
    <row r="65">
      <c r="A65" s="2" t="n">
        <v>63</v>
      </c>
      <c r="B65" t="n">
        <v>7</v>
      </c>
      <c r="C65" t="n">
        <v>915</v>
      </c>
      <c r="D65" t="n">
        <v>1770</v>
      </c>
      <c r="E65" t="n">
        <v>2125</v>
      </c>
      <c r="F65" t="n">
        <v>470</v>
      </c>
      <c r="G65" t="n">
        <v>540</v>
      </c>
      <c r="H65" t="n">
        <v>915</v>
      </c>
      <c r="I65" t="n">
        <v>3860</v>
      </c>
      <c r="J65" t="n">
        <v>3930</v>
      </c>
      <c r="K65" t="n">
        <v>1105</v>
      </c>
      <c r="L65" t="n">
        <v>645</v>
      </c>
      <c r="M65" t="n">
        <v>280</v>
      </c>
      <c r="N65" s="6" t="n">
        <v>16560</v>
      </c>
      <c r="O65">
        <f>SUM(C65:H65)</f>
        <v/>
      </c>
      <c r="P65">
        <f>I65</f>
        <v/>
      </c>
      <c r="Q65">
        <f>J65</f>
        <v/>
      </c>
      <c r="R65">
        <f>SUM(K65:M65)</f>
        <v/>
      </c>
      <c r="S65">
        <f>SUM(O65:R65)</f>
        <v/>
      </c>
      <c r="T65" s="3">
        <f>IF(S65=0,"",O65/S65)</f>
        <v/>
      </c>
      <c r="U65" s="3">
        <f>IF(S65=0,"",P65/S65)</f>
        <v/>
      </c>
      <c r="V65" s="3">
        <f>IF(S65=0,"",Q65/S65)</f>
        <v/>
      </c>
      <c r="W65" s="3">
        <f>IF(S65=0,"",R65/S65)</f>
        <v/>
      </c>
      <c r="X65" s="4">
        <f>IF(S65=0,"",T65*Pesos!$B$2+U65*Pesos!$B$3+V65*Pesos!$B$4+W65*Pesos!$B$5)</f>
        <v/>
      </c>
    </row>
    <row r="66">
      <c r="A66" s="2" t="n">
        <v>64</v>
      </c>
      <c r="B66" t="n">
        <v>9</v>
      </c>
      <c r="C66" t="n">
        <v>1555</v>
      </c>
      <c r="D66" t="n">
        <v>1955</v>
      </c>
      <c r="E66" t="n">
        <v>785</v>
      </c>
      <c r="F66" t="n">
        <v>1030</v>
      </c>
      <c r="G66" t="n">
        <v>1115</v>
      </c>
      <c r="H66" t="n">
        <v>1465</v>
      </c>
      <c r="I66" t="n">
        <v>3835</v>
      </c>
      <c r="J66" t="n">
        <v>2490</v>
      </c>
      <c r="K66" t="n">
        <v>1910</v>
      </c>
      <c r="L66" t="n">
        <v>1085</v>
      </c>
      <c r="M66" t="n">
        <v>755</v>
      </c>
      <c r="N66" s="6" t="n">
        <v>17985</v>
      </c>
      <c r="O66">
        <f>SUM(C66:H66)</f>
        <v/>
      </c>
      <c r="P66">
        <f>I66</f>
        <v/>
      </c>
      <c r="Q66">
        <f>J66</f>
        <v/>
      </c>
      <c r="R66">
        <f>SUM(K66:M66)</f>
        <v/>
      </c>
      <c r="S66">
        <f>SUM(O66:R66)</f>
        <v/>
      </c>
      <c r="T66" s="3">
        <f>IF(S66=0,"",O66/S66)</f>
        <v/>
      </c>
      <c r="U66" s="3">
        <f>IF(S66=0,"",P66/S66)</f>
        <v/>
      </c>
      <c r="V66" s="3">
        <f>IF(S66=0,"",Q66/S66)</f>
        <v/>
      </c>
      <c r="W66" s="3">
        <f>IF(S66=0,"",R66/S66)</f>
        <v/>
      </c>
      <c r="X66" s="4">
        <f>IF(S66=0,"",T66*Pesos!$B$2+U66*Pesos!$B$3+V66*Pesos!$B$4+W66*Pesos!$B$5)</f>
        <v/>
      </c>
    </row>
    <row r="67">
      <c r="A67" s="2" t="n">
        <v>65</v>
      </c>
      <c r="B67" t="n">
        <v>7</v>
      </c>
      <c r="C67" t="n">
        <v>205</v>
      </c>
      <c r="D67" t="n">
        <v>435</v>
      </c>
      <c r="E67" t="n">
        <v>555</v>
      </c>
      <c r="F67" t="n">
        <v>410</v>
      </c>
      <c r="G67" t="n">
        <v>240</v>
      </c>
      <c r="H67" t="n">
        <v>690</v>
      </c>
      <c r="I67" t="n">
        <v>2375</v>
      </c>
      <c r="J67" t="n">
        <v>4585</v>
      </c>
      <c r="K67" t="n">
        <v>1210</v>
      </c>
      <c r="L67" t="n">
        <v>225</v>
      </c>
      <c r="M67" t="n">
        <v>90</v>
      </c>
      <c r="N67" s="6" t="n">
        <v>11010</v>
      </c>
      <c r="O67">
        <f>SUM(C67:H67)</f>
        <v/>
      </c>
      <c r="P67">
        <f>I67</f>
        <v/>
      </c>
      <c r="Q67">
        <f>J67</f>
        <v/>
      </c>
      <c r="R67">
        <f>SUM(K67:M67)</f>
        <v/>
      </c>
      <c r="S67">
        <f>SUM(O67:R67)</f>
        <v/>
      </c>
      <c r="T67" s="3">
        <f>IF(S67=0,"",O67/S67)</f>
        <v/>
      </c>
      <c r="U67" s="3">
        <f>IF(S67=0,"",P67/S67)</f>
        <v/>
      </c>
      <c r="V67" s="3">
        <f>IF(S67=0,"",Q67/S67)</f>
        <v/>
      </c>
      <c r="W67" s="3">
        <f>IF(S67=0,"",R67/S67)</f>
        <v/>
      </c>
      <c r="X67" s="4">
        <f>IF(S67=0,"",T67*Pesos!$B$2+U67*Pesos!$B$3+V67*Pesos!$B$4+W67*Pesos!$B$5)</f>
        <v/>
      </c>
    </row>
    <row r="68">
      <c r="A68" s="2" t="n">
        <v>66</v>
      </c>
      <c r="B68" t="n">
        <v>9</v>
      </c>
      <c r="C68" t="n">
        <v>425</v>
      </c>
      <c r="D68" t="n">
        <v>1510</v>
      </c>
      <c r="E68" t="n">
        <v>1400</v>
      </c>
      <c r="F68" t="n">
        <v>1680</v>
      </c>
      <c r="G68" t="n">
        <v>1845</v>
      </c>
      <c r="H68" t="n">
        <v>1700</v>
      </c>
      <c r="I68" t="n">
        <v>4615</v>
      </c>
      <c r="J68" t="n">
        <v>4960</v>
      </c>
      <c r="K68" t="n">
        <v>1010</v>
      </c>
      <c r="L68" t="n">
        <v>245</v>
      </c>
      <c r="M68" t="n">
        <v>185</v>
      </c>
      <c r="N68" s="6" t="n">
        <v>19575</v>
      </c>
      <c r="O68">
        <f>SUM(C68:H68)</f>
        <v/>
      </c>
      <c r="P68">
        <f>I68</f>
        <v/>
      </c>
      <c r="Q68">
        <f>J68</f>
        <v/>
      </c>
      <c r="R68">
        <f>SUM(K68:M68)</f>
        <v/>
      </c>
      <c r="S68">
        <f>SUM(O68:R68)</f>
        <v/>
      </c>
      <c r="T68" s="3">
        <f>IF(S68=0,"",O68/S68)</f>
        <v/>
      </c>
      <c r="U68" s="3">
        <f>IF(S68=0,"",P68/S68)</f>
        <v/>
      </c>
      <c r="V68" s="3">
        <f>IF(S68=0,"",Q68/S68)</f>
        <v/>
      </c>
      <c r="W68" s="3">
        <f>IF(S68=0,"",R68/S68)</f>
        <v/>
      </c>
      <c r="X68" s="4">
        <f>IF(S68=0,"",T68*Pesos!$B$2+U68*Pesos!$B$3+V68*Pesos!$B$4+W68*Pesos!$B$5)</f>
        <v/>
      </c>
    </row>
    <row r="69">
      <c r="A69" s="2" t="n">
        <v>67</v>
      </c>
      <c r="B69" t="n">
        <v>12</v>
      </c>
      <c r="C69" t="n">
        <v>1510</v>
      </c>
      <c r="D69" t="n">
        <v>1655</v>
      </c>
      <c r="E69" t="n">
        <v>2375</v>
      </c>
      <c r="F69" t="n">
        <v>1415</v>
      </c>
      <c r="G69" t="n">
        <v>1030</v>
      </c>
      <c r="H69" t="n">
        <v>1225</v>
      </c>
      <c r="I69" t="n">
        <v>4680</v>
      </c>
      <c r="J69" t="n">
        <v>5425</v>
      </c>
      <c r="K69" t="n">
        <v>2550</v>
      </c>
      <c r="L69" t="n">
        <v>1910</v>
      </c>
      <c r="M69" t="n">
        <v>440</v>
      </c>
      <c r="N69" s="6" t="n">
        <v>24210</v>
      </c>
      <c r="O69">
        <f>SUM(C69:H69)</f>
        <v/>
      </c>
      <c r="P69">
        <f>I69</f>
        <v/>
      </c>
      <c r="Q69">
        <f>J69</f>
        <v/>
      </c>
      <c r="R69">
        <f>SUM(K69:M69)</f>
        <v/>
      </c>
      <c r="S69">
        <f>SUM(O69:R69)</f>
        <v/>
      </c>
      <c r="T69" s="3">
        <f>IF(S69=0,"",O69/S69)</f>
        <v/>
      </c>
      <c r="U69" s="3">
        <f>IF(S69=0,"",P69/S69)</f>
        <v/>
      </c>
      <c r="V69" s="3">
        <f>IF(S69=0,"",Q69/S69)</f>
        <v/>
      </c>
      <c r="W69" s="3">
        <f>IF(S69=0,"",R69/S69)</f>
        <v/>
      </c>
      <c r="X69" s="4">
        <f>IF(S69=0,"",T69*Pesos!$B$2+U69*Pesos!$B$3+V69*Pesos!$B$4+W69*Pesos!$B$5)</f>
        <v/>
      </c>
    </row>
    <row r="70">
      <c r="A70" s="2" t="n">
        <v>68</v>
      </c>
      <c r="B70" t="n">
        <v>9</v>
      </c>
      <c r="C70" t="n">
        <v>1010</v>
      </c>
      <c r="D70" t="n">
        <v>1165</v>
      </c>
      <c r="E70" t="n">
        <v>1265</v>
      </c>
      <c r="F70" t="n">
        <v>705</v>
      </c>
      <c r="G70" t="n">
        <v>560</v>
      </c>
      <c r="H70" t="n">
        <v>820</v>
      </c>
      <c r="I70" t="n">
        <v>3875</v>
      </c>
      <c r="J70" t="n">
        <v>4730</v>
      </c>
      <c r="K70" t="n">
        <v>1910</v>
      </c>
      <c r="L70" t="n">
        <v>495</v>
      </c>
      <c r="M70" t="n">
        <v>415</v>
      </c>
      <c r="N70" s="6" t="n">
        <v>16950</v>
      </c>
      <c r="O70">
        <f>SUM(C70:H70)</f>
        <v/>
      </c>
      <c r="P70">
        <f>I70</f>
        <v/>
      </c>
      <c r="Q70">
        <f>J70</f>
        <v/>
      </c>
      <c r="R70">
        <f>SUM(K70:M70)</f>
        <v/>
      </c>
      <c r="S70">
        <f>SUM(O70:R70)</f>
        <v/>
      </c>
      <c r="T70" s="3">
        <f>IF(S70=0,"",O70/S70)</f>
        <v/>
      </c>
      <c r="U70" s="3">
        <f>IF(S70=0,"",P70/S70)</f>
        <v/>
      </c>
      <c r="V70" s="3">
        <f>IF(S70=0,"",Q70/S70)</f>
        <v/>
      </c>
      <c r="W70" s="3">
        <f>IF(S70=0,"",R70/S70)</f>
        <v/>
      </c>
      <c r="X70" s="4">
        <f>IF(S70=0,"",T70*Pesos!$B$2+U70*Pesos!$B$3+V70*Pesos!$B$4+W70*Pesos!$B$5)</f>
        <v/>
      </c>
    </row>
    <row r="71">
      <c r="A71" s="2" t="n">
        <v>69</v>
      </c>
      <c r="B71" t="n">
        <v>9</v>
      </c>
      <c r="C71" t="n">
        <v>1085</v>
      </c>
      <c r="D71" t="n">
        <v>960</v>
      </c>
      <c r="E71" t="n">
        <v>1065</v>
      </c>
      <c r="F71" t="n">
        <v>380</v>
      </c>
      <c r="G71" t="n">
        <v>935</v>
      </c>
      <c r="H71" t="n">
        <v>815</v>
      </c>
      <c r="I71" t="n">
        <v>1625</v>
      </c>
      <c r="J71" t="n">
        <v>2450</v>
      </c>
      <c r="K71" t="n">
        <v>2290</v>
      </c>
      <c r="L71" t="n">
        <v>1805</v>
      </c>
      <c r="M71" t="n">
        <v>465</v>
      </c>
      <c r="N71" s="6" t="n">
        <v>13880</v>
      </c>
      <c r="O71">
        <f>SUM(C71:H71)</f>
        <v/>
      </c>
      <c r="P71">
        <f>I71</f>
        <v/>
      </c>
      <c r="Q71">
        <f>J71</f>
        <v/>
      </c>
      <c r="R71">
        <f>SUM(K71:M71)</f>
        <v/>
      </c>
      <c r="S71">
        <f>SUM(O71:R71)</f>
        <v/>
      </c>
      <c r="T71" s="3">
        <f>IF(S71=0,"",O71/S71)</f>
        <v/>
      </c>
      <c r="U71" s="3">
        <f>IF(S71=0,"",P71/S71)</f>
        <v/>
      </c>
      <c r="V71" s="3">
        <f>IF(S71=0,"",Q71/S71)</f>
        <v/>
      </c>
      <c r="W71" s="3">
        <f>IF(S71=0,"",R71/S71)</f>
        <v/>
      </c>
      <c r="X71" s="4">
        <f>IF(S71=0,"",T71*Pesos!$B$2+U71*Pesos!$B$3+V71*Pesos!$B$4+W71*Pesos!$B$5)</f>
        <v/>
      </c>
    </row>
    <row r="72">
      <c r="A72" s="2" t="n">
        <v>70</v>
      </c>
      <c r="B72" t="n">
        <v>9</v>
      </c>
      <c r="C72" t="n">
        <v>1020</v>
      </c>
      <c r="D72" t="n">
        <v>1020</v>
      </c>
      <c r="E72" t="n">
        <v>1205</v>
      </c>
      <c r="F72" t="n">
        <v>945</v>
      </c>
      <c r="G72" t="n">
        <v>585</v>
      </c>
      <c r="H72" t="n">
        <v>800</v>
      </c>
      <c r="I72" t="n">
        <v>2435</v>
      </c>
      <c r="J72" t="n">
        <v>4020</v>
      </c>
      <c r="K72" t="n">
        <v>1140</v>
      </c>
      <c r="L72" t="n">
        <v>1755</v>
      </c>
      <c r="M72" t="n">
        <v>530</v>
      </c>
      <c r="N72" s="6" t="n">
        <v>15450</v>
      </c>
      <c r="O72">
        <f>SUM(C72:H72)</f>
        <v/>
      </c>
      <c r="P72">
        <f>I72</f>
        <v/>
      </c>
      <c r="Q72">
        <f>J72</f>
        <v/>
      </c>
      <c r="R72">
        <f>SUM(K72:M72)</f>
        <v/>
      </c>
      <c r="S72">
        <f>SUM(O72:R72)</f>
        <v/>
      </c>
      <c r="T72" s="3">
        <f>IF(S72=0,"",O72/S72)</f>
        <v/>
      </c>
      <c r="U72" s="3">
        <f>IF(S72=0,"",P72/S72)</f>
        <v/>
      </c>
      <c r="V72" s="3">
        <f>IF(S72=0,"",Q72/S72)</f>
        <v/>
      </c>
      <c r="W72" s="3">
        <f>IF(S72=0,"",R72/S72)</f>
        <v/>
      </c>
      <c r="X72" s="4">
        <f>IF(S72=0,"",T72*Pesos!$B$2+U72*Pesos!$B$3+V72*Pesos!$B$4+W72*Pesos!$B$5)</f>
        <v/>
      </c>
    </row>
    <row r="73">
      <c r="A73" s="2" t="n">
        <v>71</v>
      </c>
      <c r="B73" t="n">
        <v>7</v>
      </c>
      <c r="C73" t="n">
        <v>765</v>
      </c>
      <c r="D73" t="n">
        <v>880</v>
      </c>
      <c r="E73" t="n">
        <v>780</v>
      </c>
      <c r="F73" t="n">
        <v>610</v>
      </c>
      <c r="G73" t="n">
        <v>1340</v>
      </c>
      <c r="H73" t="n">
        <v>1435</v>
      </c>
      <c r="I73" t="n">
        <v>3635</v>
      </c>
      <c r="J73" t="n">
        <v>1015</v>
      </c>
      <c r="K73" t="n">
        <v>795</v>
      </c>
      <c r="L73" t="n">
        <v>920</v>
      </c>
      <c r="M73" s="7" t="n">
        <v>30</v>
      </c>
      <c r="N73" s="6" t="n">
        <v>12205</v>
      </c>
      <c r="O73">
        <f>SUM(C73:H73)</f>
        <v/>
      </c>
      <c r="P73">
        <f>I73</f>
        <v/>
      </c>
      <c r="Q73">
        <f>J73</f>
        <v/>
      </c>
      <c r="R73">
        <f>SUM(K73:M73)</f>
        <v/>
      </c>
      <c r="S73">
        <f>SUM(O73:R73)</f>
        <v/>
      </c>
      <c r="T73" s="3">
        <f>IF(S73=0,"",O73/S73)</f>
        <v/>
      </c>
      <c r="U73" s="3">
        <f>IF(S73=0,"",P73/S73)</f>
        <v/>
      </c>
      <c r="V73" s="3">
        <f>IF(S73=0,"",Q73/S73)</f>
        <v/>
      </c>
      <c r="W73" s="3">
        <f>IF(S73=0,"",R73/S73)</f>
        <v/>
      </c>
      <c r="X73" s="4">
        <f>IF(S73=0,"",T73*Pesos!$B$2+U73*Pesos!$B$3+V73*Pesos!$B$4+W73*Pesos!$B$5)</f>
        <v/>
      </c>
    </row>
    <row r="74">
      <c r="A74" s="2" t="n">
        <v>72</v>
      </c>
      <c r="B74" t="n">
        <v>8</v>
      </c>
      <c r="C74" t="n">
        <v>650</v>
      </c>
      <c r="D74" t="n">
        <v>485</v>
      </c>
      <c r="E74" t="n">
        <v>505</v>
      </c>
      <c r="F74" t="n">
        <v>105</v>
      </c>
      <c r="G74" t="n">
        <v>470</v>
      </c>
      <c r="H74" t="n">
        <v>520</v>
      </c>
      <c r="I74" t="n">
        <v>1795</v>
      </c>
      <c r="J74" t="n">
        <v>2285</v>
      </c>
      <c r="K74" t="n">
        <v>3575</v>
      </c>
      <c r="L74" t="n">
        <v>1505</v>
      </c>
      <c r="M74" s="7" t="n">
        <v>30</v>
      </c>
      <c r="N74" s="6" t="n">
        <v>11925</v>
      </c>
      <c r="O74">
        <f>SUM(C74:H74)</f>
        <v/>
      </c>
      <c r="P74">
        <f>I74</f>
        <v/>
      </c>
      <c r="Q74">
        <f>J74</f>
        <v/>
      </c>
      <c r="R74">
        <f>SUM(K74:M74)</f>
        <v/>
      </c>
      <c r="S74">
        <f>SUM(O74:R74)</f>
        <v/>
      </c>
      <c r="T74" s="3">
        <f>IF(S74=0,"",O74/S74)</f>
        <v/>
      </c>
      <c r="U74" s="3">
        <f>IF(S74=0,"",P74/S74)</f>
        <v/>
      </c>
      <c r="V74" s="3">
        <f>IF(S74=0,"",Q74/S74)</f>
        <v/>
      </c>
      <c r="W74" s="3">
        <f>IF(S74=0,"",R74/S74)</f>
        <v/>
      </c>
      <c r="X74" s="4">
        <f>IF(S74=0,"",T74*Pesos!$B$2+U74*Pesos!$B$3+V74*Pesos!$B$4+W74*Pesos!$B$5)</f>
        <v/>
      </c>
    </row>
    <row r="75">
      <c r="A75" s="2" t="n">
        <v>73</v>
      </c>
      <c r="B75" t="n">
        <v>10</v>
      </c>
      <c r="C75" t="n">
        <v>700</v>
      </c>
      <c r="D75" t="n">
        <v>1035</v>
      </c>
      <c r="E75" t="n">
        <v>640</v>
      </c>
      <c r="F75" t="n">
        <v>950</v>
      </c>
      <c r="G75" t="n">
        <v>310</v>
      </c>
      <c r="H75" t="n">
        <v>550</v>
      </c>
      <c r="I75" t="n">
        <v>1840</v>
      </c>
      <c r="J75" t="n">
        <v>5220</v>
      </c>
      <c r="K75" t="n">
        <v>2920</v>
      </c>
      <c r="L75" t="n">
        <v>2055</v>
      </c>
      <c r="M75" t="n">
        <v>230</v>
      </c>
      <c r="N75" s="6" t="n">
        <v>16455</v>
      </c>
      <c r="O75">
        <f>SUM(C75:H75)</f>
        <v/>
      </c>
      <c r="P75">
        <f>I75</f>
        <v/>
      </c>
      <c r="Q75">
        <f>J75</f>
        <v/>
      </c>
      <c r="R75">
        <f>SUM(K75:M75)</f>
        <v/>
      </c>
      <c r="S75">
        <f>SUM(O75:R75)</f>
        <v/>
      </c>
      <c r="T75" s="3">
        <f>IF(S75=0,"",O75/S75)</f>
        <v/>
      </c>
      <c r="U75" s="3">
        <f>IF(S75=0,"",P75/S75)</f>
        <v/>
      </c>
      <c r="V75" s="3">
        <f>IF(S75=0,"",Q75/S75)</f>
        <v/>
      </c>
      <c r="W75" s="3">
        <f>IF(S75=0,"",R75/S75)</f>
        <v/>
      </c>
      <c r="X75" s="4">
        <f>IF(S75=0,"",T75*Pesos!$B$2+U75*Pesos!$B$3+V75*Pesos!$B$4+W75*Pesos!$B$5)</f>
        <v/>
      </c>
    </row>
    <row r="76">
      <c r="A76" s="2" t="n">
        <v>74</v>
      </c>
      <c r="B76" t="n">
        <v>11</v>
      </c>
      <c r="C76" t="n">
        <v>630</v>
      </c>
      <c r="D76" t="n">
        <v>1145</v>
      </c>
      <c r="E76" t="n">
        <v>905</v>
      </c>
      <c r="F76" t="n">
        <v>360</v>
      </c>
      <c r="G76" t="n">
        <v>400</v>
      </c>
      <c r="H76" t="n">
        <v>615</v>
      </c>
      <c r="I76" t="n">
        <v>1965</v>
      </c>
      <c r="J76" t="n">
        <v>2720</v>
      </c>
      <c r="K76" t="n">
        <v>5205</v>
      </c>
      <c r="L76" t="n">
        <v>3275</v>
      </c>
      <c r="M76" t="n">
        <v>300</v>
      </c>
      <c r="N76" s="6" t="n">
        <v>17520</v>
      </c>
      <c r="O76">
        <f>SUM(C76:H76)</f>
        <v/>
      </c>
      <c r="P76">
        <f>I76</f>
        <v/>
      </c>
      <c r="Q76">
        <f>J76</f>
        <v/>
      </c>
      <c r="R76">
        <f>SUM(K76:M76)</f>
        <v/>
      </c>
      <c r="S76">
        <f>SUM(O76:R76)</f>
        <v/>
      </c>
      <c r="T76" s="3">
        <f>IF(S76=0,"",O76/S76)</f>
        <v/>
      </c>
      <c r="U76" s="3">
        <f>IF(S76=0,"",P76/S76)</f>
        <v/>
      </c>
      <c r="V76" s="3">
        <f>IF(S76=0,"",Q76/S76)</f>
        <v/>
      </c>
      <c r="W76" s="3">
        <f>IF(S76=0,"",R76/S76)</f>
        <v/>
      </c>
      <c r="X76" s="4">
        <f>IF(S76=0,"",T76*Pesos!$B$2+U76*Pesos!$B$3+V76*Pesos!$B$4+W76*Pesos!$B$5)</f>
        <v/>
      </c>
    </row>
    <row r="77">
      <c r="A77" s="2" t="n">
        <v>75</v>
      </c>
      <c r="B77" t="n">
        <v>3</v>
      </c>
      <c r="C77" t="n">
        <v>455</v>
      </c>
      <c r="D77" t="n">
        <v>635</v>
      </c>
      <c r="E77" t="n">
        <v>510</v>
      </c>
      <c r="F77" t="n">
        <v>375</v>
      </c>
      <c r="G77" t="n">
        <v>360</v>
      </c>
      <c r="H77" t="n">
        <v>490</v>
      </c>
      <c r="I77" t="n">
        <v>2290</v>
      </c>
      <c r="J77" t="n">
        <v>500</v>
      </c>
      <c r="K77" t="n">
        <v>375</v>
      </c>
      <c r="L77" t="n">
        <v>145</v>
      </c>
      <c r="M77" t="n">
        <v>115</v>
      </c>
      <c r="N77" s="6" t="n">
        <v>6245</v>
      </c>
      <c r="O77">
        <f>SUM(C77:H77)</f>
        <v/>
      </c>
      <c r="P77">
        <f>I77</f>
        <v/>
      </c>
      <c r="Q77">
        <f>J77</f>
        <v/>
      </c>
      <c r="R77">
        <f>SUM(K77:M77)</f>
        <v/>
      </c>
      <c r="S77">
        <f>SUM(O77:R77)</f>
        <v/>
      </c>
      <c r="T77" s="3">
        <f>IF(S77=0,"",O77/S77)</f>
        <v/>
      </c>
      <c r="U77" s="3">
        <f>IF(S77=0,"",P77/S77)</f>
        <v/>
      </c>
      <c r="V77" s="3">
        <f>IF(S77=0,"",Q77/S77)</f>
        <v/>
      </c>
      <c r="W77" s="3">
        <f>IF(S77=0,"",R77/S77)</f>
        <v/>
      </c>
      <c r="X77" s="4">
        <f>IF(S77=0,"",T77*Pesos!$B$2+U77*Pesos!$B$3+V77*Pesos!$B$4+W77*Pesos!$B$5)</f>
        <v/>
      </c>
    </row>
    <row r="78">
      <c r="A78" s="2" t="n">
        <v>77</v>
      </c>
      <c r="B78" t="n">
        <v>10</v>
      </c>
      <c r="C78" t="n">
        <v>825</v>
      </c>
      <c r="D78" t="n">
        <v>1095</v>
      </c>
      <c r="E78" t="n">
        <v>1045</v>
      </c>
      <c r="F78" t="n">
        <v>1400</v>
      </c>
      <c r="G78" t="n">
        <v>1230</v>
      </c>
      <c r="H78" t="n">
        <v>1245</v>
      </c>
      <c r="I78" t="n">
        <v>3240</v>
      </c>
      <c r="J78" t="n">
        <v>3620</v>
      </c>
      <c r="K78" t="n">
        <v>2250</v>
      </c>
      <c r="L78" t="n">
        <v>1175</v>
      </c>
      <c r="M78" t="n">
        <v>1640</v>
      </c>
      <c r="N78" s="6" t="n">
        <v>18765</v>
      </c>
      <c r="O78">
        <f>SUM(C78:H78)</f>
        <v/>
      </c>
      <c r="P78">
        <f>I78</f>
        <v/>
      </c>
      <c r="Q78">
        <f>J78</f>
        <v/>
      </c>
      <c r="R78">
        <f>SUM(K78:M78)</f>
        <v/>
      </c>
      <c r="S78">
        <f>SUM(O78:R78)</f>
        <v/>
      </c>
      <c r="T78" s="3">
        <f>IF(S78=0,"",O78/S78)</f>
        <v/>
      </c>
      <c r="U78" s="3">
        <f>IF(S78=0,"",P78/S78)</f>
        <v/>
      </c>
      <c r="V78" s="3">
        <f>IF(S78=0,"",Q78/S78)</f>
        <v/>
      </c>
      <c r="W78" s="3">
        <f>IF(S78=0,"",R78/S78)</f>
        <v/>
      </c>
      <c r="X78" s="4">
        <f>IF(S78=0,"",T78*Pesos!$B$2+U78*Pesos!$B$3+V78*Pesos!$B$4+W78*Pesos!$B$5)</f>
        <v/>
      </c>
    </row>
    <row r="79">
      <c r="A79" s="2" t="n">
        <v>78</v>
      </c>
      <c r="B79" t="n">
        <v>9</v>
      </c>
      <c r="C79" t="n">
        <v>560</v>
      </c>
      <c r="D79" t="n">
        <v>1040</v>
      </c>
      <c r="E79" t="n">
        <v>1230</v>
      </c>
      <c r="F79" t="n">
        <v>685</v>
      </c>
      <c r="G79" t="n">
        <v>815</v>
      </c>
      <c r="H79" t="n">
        <v>1230</v>
      </c>
      <c r="I79" t="n">
        <v>3955</v>
      </c>
      <c r="J79" t="n">
        <v>3540</v>
      </c>
      <c r="K79" t="n">
        <v>1955</v>
      </c>
      <c r="L79" t="n">
        <v>665</v>
      </c>
      <c r="M79" t="n">
        <v>560</v>
      </c>
      <c r="N79" s="6" t="n">
        <v>16235</v>
      </c>
      <c r="O79">
        <f>SUM(C79:H79)</f>
        <v/>
      </c>
      <c r="P79">
        <f>I79</f>
        <v/>
      </c>
      <c r="Q79">
        <f>J79</f>
        <v/>
      </c>
      <c r="R79">
        <f>SUM(K79:M79)</f>
        <v/>
      </c>
      <c r="S79">
        <f>SUM(O79:R79)</f>
        <v/>
      </c>
      <c r="T79" s="3">
        <f>IF(S79=0,"",O79/S79)</f>
        <v/>
      </c>
      <c r="U79" s="3">
        <f>IF(S79=0,"",P79/S79)</f>
        <v/>
      </c>
      <c r="V79" s="3">
        <f>IF(S79=0,"",Q79/S79)</f>
        <v/>
      </c>
      <c r="W79" s="3">
        <f>IF(S79=0,"",R79/S79)</f>
        <v/>
      </c>
      <c r="X79" s="4">
        <f>IF(S79=0,"",T79*Pesos!$B$2+U79*Pesos!$B$3+V79*Pesos!$B$4+W79*Pesos!$B$5)</f>
        <v/>
      </c>
    </row>
    <row r="80">
      <c r="A80" s="2" t="n">
        <v>79</v>
      </c>
      <c r="B80" t="n">
        <v>8</v>
      </c>
      <c r="C80" t="n">
        <v>1335</v>
      </c>
      <c r="D80" t="n">
        <v>1095</v>
      </c>
      <c r="E80" t="n">
        <v>905</v>
      </c>
      <c r="F80" t="n">
        <v>835</v>
      </c>
      <c r="G80" t="n">
        <v>1010</v>
      </c>
      <c r="H80" t="n">
        <v>955</v>
      </c>
      <c r="I80" t="n">
        <v>3260</v>
      </c>
      <c r="J80" t="n">
        <v>2830</v>
      </c>
      <c r="K80" t="n">
        <v>1045</v>
      </c>
      <c r="L80" t="n">
        <v>295</v>
      </c>
      <c r="M80" t="n">
        <v>270</v>
      </c>
      <c r="N80" s="6" t="n">
        <v>13830</v>
      </c>
      <c r="O80">
        <f>SUM(C80:H80)</f>
        <v/>
      </c>
      <c r="P80">
        <f>I80</f>
        <v/>
      </c>
      <c r="Q80">
        <f>J80</f>
        <v/>
      </c>
      <c r="R80">
        <f>SUM(K80:M80)</f>
        <v/>
      </c>
      <c r="S80">
        <f>SUM(O80:R80)</f>
        <v/>
      </c>
      <c r="T80" s="3">
        <f>IF(S80=0,"",O80/S80)</f>
        <v/>
      </c>
      <c r="U80" s="3">
        <f>IF(S80=0,"",P80/S80)</f>
        <v/>
      </c>
      <c r="V80" s="3">
        <f>IF(S80=0,"",Q80/S80)</f>
        <v/>
      </c>
      <c r="W80" s="3">
        <f>IF(S80=0,"",R80/S80)</f>
        <v/>
      </c>
      <c r="X80" s="4">
        <f>IF(S80=0,"",T80*Pesos!$B$2+U80*Pesos!$B$3+V80*Pesos!$B$4+W80*Pesos!$B$5)</f>
        <v/>
      </c>
    </row>
    <row r="81">
      <c r="A81" s="2" t="n">
        <v>80</v>
      </c>
      <c r="B81" t="n">
        <v>8</v>
      </c>
      <c r="C81" t="n">
        <v>525</v>
      </c>
      <c r="D81" t="n">
        <v>320</v>
      </c>
      <c r="E81" t="n">
        <v>315</v>
      </c>
      <c r="F81" t="n">
        <v>320</v>
      </c>
      <c r="G81" t="n">
        <v>460</v>
      </c>
      <c r="H81" t="n">
        <v>470</v>
      </c>
      <c r="I81" t="n">
        <v>1780</v>
      </c>
      <c r="J81" t="n">
        <v>2085</v>
      </c>
      <c r="K81" t="n">
        <v>2505</v>
      </c>
      <c r="L81" t="n">
        <v>1890</v>
      </c>
      <c r="M81" s="7" t="n">
        <v>35</v>
      </c>
      <c r="N81" s="6" t="n">
        <v>10710</v>
      </c>
      <c r="O81">
        <f>SUM(C81:H81)</f>
        <v/>
      </c>
      <c r="P81">
        <f>I81</f>
        <v/>
      </c>
      <c r="Q81">
        <f>J81</f>
        <v/>
      </c>
      <c r="R81">
        <f>SUM(K81:M81)</f>
        <v/>
      </c>
      <c r="S81">
        <f>SUM(O81:R81)</f>
        <v/>
      </c>
      <c r="T81" s="3">
        <f>IF(S81=0,"",O81/S81)</f>
        <v/>
      </c>
      <c r="U81" s="3">
        <f>IF(S81=0,"",P81/S81)</f>
        <v/>
      </c>
      <c r="V81" s="3">
        <f>IF(S81=0,"",Q81/S81)</f>
        <v/>
      </c>
      <c r="W81" s="3">
        <f>IF(S81=0,"",R81/S81)</f>
        <v/>
      </c>
      <c r="X81" s="4">
        <f>IF(S81=0,"",T81*Pesos!$B$2+U81*Pesos!$B$3+V81*Pesos!$B$4+W81*Pesos!$B$5)</f>
        <v/>
      </c>
    </row>
    <row r="82">
      <c r="A82" s="2" t="n">
        <v>81</v>
      </c>
      <c r="B82" t="n">
        <v>8</v>
      </c>
      <c r="C82" t="n">
        <v>275</v>
      </c>
      <c r="D82" t="n">
        <v>490</v>
      </c>
      <c r="E82" t="n">
        <v>370</v>
      </c>
      <c r="F82" t="n">
        <v>185</v>
      </c>
      <c r="G82" t="n">
        <v>710</v>
      </c>
      <c r="H82" t="n">
        <v>335</v>
      </c>
      <c r="I82" t="n">
        <v>1965</v>
      </c>
      <c r="J82" t="n">
        <v>3300</v>
      </c>
      <c r="K82" t="n">
        <v>2120</v>
      </c>
      <c r="L82" t="n">
        <v>1680</v>
      </c>
      <c r="M82" t="n">
        <v>155</v>
      </c>
      <c r="N82" s="6" t="n">
        <v>11580</v>
      </c>
      <c r="O82">
        <f>SUM(C82:H82)</f>
        <v/>
      </c>
      <c r="P82">
        <f>I82</f>
        <v/>
      </c>
      <c r="Q82">
        <f>J82</f>
        <v/>
      </c>
      <c r="R82">
        <f>SUM(K82:M82)</f>
        <v/>
      </c>
      <c r="S82">
        <f>SUM(O82:R82)</f>
        <v/>
      </c>
      <c r="T82" s="3">
        <f>IF(S82=0,"",O82/S82)</f>
        <v/>
      </c>
      <c r="U82" s="3">
        <f>IF(S82=0,"",P82/S82)</f>
        <v/>
      </c>
      <c r="V82" s="3">
        <f>IF(S82=0,"",Q82/S82)</f>
        <v/>
      </c>
      <c r="W82" s="3">
        <f>IF(S82=0,"",R82/S82)</f>
        <v/>
      </c>
      <c r="X82" s="4">
        <f>IF(S82=0,"",T82*Pesos!$B$2+U82*Pesos!$B$3+V82*Pesos!$B$4+W82*Pesos!$B$5)</f>
        <v/>
      </c>
    </row>
    <row r="83">
      <c r="A83" s="2" t="n">
        <v>82</v>
      </c>
      <c r="B83" t="n">
        <v>8</v>
      </c>
      <c r="C83" t="n">
        <v>335</v>
      </c>
      <c r="D83" t="n">
        <v>330</v>
      </c>
      <c r="E83" t="n">
        <v>305</v>
      </c>
      <c r="F83" t="n">
        <v>305</v>
      </c>
      <c r="G83" t="n">
        <v>305</v>
      </c>
      <c r="H83" t="n">
        <v>235</v>
      </c>
      <c r="I83" t="n">
        <v>1600</v>
      </c>
      <c r="J83" t="n">
        <v>2215</v>
      </c>
      <c r="K83" t="n">
        <v>2340</v>
      </c>
      <c r="L83" t="n">
        <v>1480</v>
      </c>
      <c r="M83" s="7" t="n">
        <v>10</v>
      </c>
      <c r="N83" s="6" t="n">
        <v>9455</v>
      </c>
      <c r="O83">
        <f>SUM(C83:H83)</f>
        <v/>
      </c>
      <c r="P83">
        <f>I83</f>
        <v/>
      </c>
      <c r="Q83">
        <f>J83</f>
        <v/>
      </c>
      <c r="R83">
        <f>SUM(K83:M83)</f>
        <v/>
      </c>
      <c r="S83">
        <f>SUM(O83:R83)</f>
        <v/>
      </c>
      <c r="T83" s="3">
        <f>IF(S83=0,"",O83/S83)</f>
        <v/>
      </c>
      <c r="U83" s="3">
        <f>IF(S83=0,"",P83/S83)</f>
        <v/>
      </c>
      <c r="V83" s="3">
        <f>IF(S83=0,"",Q83/S83)</f>
        <v/>
      </c>
      <c r="W83" s="3">
        <f>IF(S83=0,"",R83/S83)</f>
        <v/>
      </c>
      <c r="X83" s="4">
        <f>IF(S83=0,"",T83*Pesos!$B$2+U83*Pesos!$B$3+V83*Pesos!$B$4+W83*Pesos!$B$5)</f>
        <v/>
      </c>
    </row>
    <row r="84">
      <c r="A84" s="2" t="n">
        <v>83</v>
      </c>
      <c r="B84" t="n">
        <v>9</v>
      </c>
      <c r="C84" t="n">
        <v>1500</v>
      </c>
      <c r="D84" t="n">
        <v>740</v>
      </c>
      <c r="E84" t="n">
        <v>405</v>
      </c>
      <c r="F84" t="n">
        <v>260</v>
      </c>
      <c r="G84" t="n">
        <v>765</v>
      </c>
      <c r="H84" t="n">
        <v>465</v>
      </c>
      <c r="I84" t="n">
        <v>1410</v>
      </c>
      <c r="J84" t="n">
        <v>2380</v>
      </c>
      <c r="K84" t="n">
        <v>3075</v>
      </c>
      <c r="L84" t="n">
        <v>2270</v>
      </c>
      <c r="M84" t="n">
        <v>190</v>
      </c>
      <c r="N84" s="6" t="n">
        <v>13460</v>
      </c>
      <c r="O84">
        <f>SUM(C84:H84)</f>
        <v/>
      </c>
      <c r="P84">
        <f>I84</f>
        <v/>
      </c>
      <c r="Q84">
        <f>J84</f>
        <v/>
      </c>
      <c r="R84">
        <f>SUM(K84:M84)</f>
        <v/>
      </c>
      <c r="S84">
        <f>SUM(O84:R84)</f>
        <v/>
      </c>
      <c r="T84" s="3">
        <f>IF(S84=0,"",O84/S84)</f>
        <v/>
      </c>
      <c r="U84" s="3">
        <f>IF(S84=0,"",P84/S84)</f>
        <v/>
      </c>
      <c r="V84" s="3">
        <f>IF(S84=0,"",Q84/S84)</f>
        <v/>
      </c>
      <c r="W84" s="3">
        <f>IF(S84=0,"",R84/S84)</f>
        <v/>
      </c>
      <c r="X84" s="4">
        <f>IF(S84=0,"",T84*Pesos!$B$2+U84*Pesos!$B$3+V84*Pesos!$B$4+W84*Pesos!$B$5)</f>
        <v/>
      </c>
    </row>
    <row r="85">
      <c r="A85" s="2" t="n">
        <v>84</v>
      </c>
      <c r="B85" t="n">
        <v>8</v>
      </c>
      <c r="C85" t="n">
        <v>885</v>
      </c>
      <c r="D85" t="n">
        <v>735</v>
      </c>
      <c r="E85" t="n">
        <v>875</v>
      </c>
      <c r="F85" t="n">
        <v>825</v>
      </c>
      <c r="G85" t="n">
        <v>730</v>
      </c>
      <c r="H85" t="n">
        <v>660</v>
      </c>
      <c r="I85" t="n">
        <v>3050</v>
      </c>
      <c r="J85" t="n">
        <v>3445</v>
      </c>
      <c r="K85" t="n">
        <v>1135</v>
      </c>
      <c r="L85" t="n">
        <v>1460</v>
      </c>
      <c r="M85" t="n">
        <v>655</v>
      </c>
      <c r="N85" s="6" t="n">
        <v>14455</v>
      </c>
      <c r="O85">
        <f>SUM(C85:H85)</f>
        <v/>
      </c>
      <c r="P85">
        <f>I85</f>
        <v/>
      </c>
      <c r="Q85">
        <f>J85</f>
        <v/>
      </c>
      <c r="R85">
        <f>SUM(K85:M85)</f>
        <v/>
      </c>
      <c r="S85">
        <f>SUM(O85:R85)</f>
        <v/>
      </c>
      <c r="T85" s="3">
        <f>IF(S85=0,"",O85/S85)</f>
        <v/>
      </c>
      <c r="U85" s="3">
        <f>IF(S85=0,"",P85/S85)</f>
        <v/>
      </c>
      <c r="V85" s="3">
        <f>IF(S85=0,"",Q85/S85)</f>
        <v/>
      </c>
      <c r="W85" s="3">
        <f>IF(S85=0,"",R85/S85)</f>
        <v/>
      </c>
      <c r="X85" s="4">
        <f>IF(S85=0,"",T85*Pesos!$B$2+U85*Pesos!$B$3+V85*Pesos!$B$4+W85*Pesos!$B$5)</f>
        <v/>
      </c>
    </row>
    <row r="86">
      <c r="A86" s="2" t="n">
        <v>85</v>
      </c>
      <c r="B86" t="n">
        <v>8</v>
      </c>
      <c r="C86" t="n">
        <v>670</v>
      </c>
      <c r="D86" t="n">
        <v>375</v>
      </c>
      <c r="E86" t="n">
        <v>905</v>
      </c>
      <c r="F86" t="n">
        <v>605</v>
      </c>
      <c r="G86" t="n">
        <v>615</v>
      </c>
      <c r="H86" t="n">
        <v>685</v>
      </c>
      <c r="I86" t="n">
        <v>4300</v>
      </c>
      <c r="J86" t="n">
        <v>3145</v>
      </c>
      <c r="K86" t="n">
        <v>1775</v>
      </c>
      <c r="L86" t="n">
        <v>1210</v>
      </c>
      <c r="M86" s="7" t="n">
        <v>15</v>
      </c>
      <c r="N86" s="6" t="n">
        <v>14305</v>
      </c>
      <c r="O86">
        <f>SUM(C86:H86)</f>
        <v/>
      </c>
      <c r="P86">
        <f>I86</f>
        <v/>
      </c>
      <c r="Q86">
        <f>J86</f>
        <v/>
      </c>
      <c r="R86">
        <f>SUM(K86:M86)</f>
        <v/>
      </c>
      <c r="S86">
        <f>SUM(O86:R86)</f>
        <v/>
      </c>
      <c r="T86" s="3">
        <f>IF(S86=0,"",O86/S86)</f>
        <v/>
      </c>
      <c r="U86" s="3">
        <f>IF(S86=0,"",P86/S86)</f>
        <v/>
      </c>
      <c r="V86" s="3">
        <f>IF(S86=0,"",Q86/S86)</f>
        <v/>
      </c>
      <c r="W86" s="3">
        <f>IF(S86=0,"",R86/S86)</f>
        <v/>
      </c>
      <c r="X86" s="4">
        <f>IF(S86=0,"",T86*Pesos!$B$2+U86*Pesos!$B$3+V86*Pesos!$B$4+W86*Pesos!$B$5)</f>
        <v/>
      </c>
    </row>
    <row r="87">
      <c r="A87" s="2" t="n">
        <v>86</v>
      </c>
      <c r="B87" t="n">
        <v>8</v>
      </c>
      <c r="C87" t="n">
        <v>720</v>
      </c>
      <c r="D87" t="n">
        <v>715</v>
      </c>
      <c r="E87" t="n">
        <v>750</v>
      </c>
      <c r="F87" t="n">
        <v>685</v>
      </c>
      <c r="G87" t="n">
        <v>1035</v>
      </c>
      <c r="H87" t="n">
        <v>800</v>
      </c>
      <c r="I87" t="n">
        <v>2755</v>
      </c>
      <c r="J87" t="n">
        <v>3870</v>
      </c>
      <c r="K87" t="n">
        <v>3700</v>
      </c>
      <c r="L87" t="n">
        <v>1435</v>
      </c>
      <c r="M87" t="n">
        <v>95</v>
      </c>
      <c r="N87" s="6" t="n">
        <v>16555</v>
      </c>
      <c r="O87">
        <f>SUM(C87:H87)</f>
        <v/>
      </c>
      <c r="P87">
        <f>I87</f>
        <v/>
      </c>
      <c r="Q87">
        <f>J87</f>
        <v/>
      </c>
      <c r="R87">
        <f>SUM(K87:M87)</f>
        <v/>
      </c>
      <c r="S87">
        <f>SUM(O87:R87)</f>
        <v/>
      </c>
      <c r="T87" s="3">
        <f>IF(S87=0,"",O87/S87)</f>
        <v/>
      </c>
      <c r="U87" s="3">
        <f>IF(S87=0,"",P87/S87)</f>
        <v/>
      </c>
      <c r="V87" s="3">
        <f>IF(S87=0,"",Q87/S87)</f>
        <v/>
      </c>
      <c r="W87" s="3">
        <f>IF(S87=0,"",R87/S87)</f>
        <v/>
      </c>
      <c r="X87" s="4">
        <f>IF(S87=0,"",T87*Pesos!$B$2+U87*Pesos!$B$3+V87*Pesos!$B$4+W87*Pesos!$B$5)</f>
        <v/>
      </c>
    </row>
    <row r="88">
      <c r="A88" s="2" t="n">
        <v>87</v>
      </c>
      <c r="B88" t="n">
        <v>8</v>
      </c>
      <c r="C88" t="n">
        <v>620</v>
      </c>
      <c r="D88" t="n">
        <v>435</v>
      </c>
      <c r="E88" t="n">
        <v>635</v>
      </c>
      <c r="F88" t="n">
        <v>430</v>
      </c>
      <c r="G88" t="n">
        <v>375</v>
      </c>
      <c r="H88" t="n">
        <v>455</v>
      </c>
      <c r="I88" t="n">
        <v>2955</v>
      </c>
      <c r="J88" t="n">
        <v>6245</v>
      </c>
      <c r="K88" t="n">
        <v>3695</v>
      </c>
      <c r="L88" t="n">
        <v>280</v>
      </c>
      <c r="M88" s="7" t="n">
        <v>15</v>
      </c>
      <c r="N88" s="6" t="n">
        <v>16145</v>
      </c>
      <c r="O88">
        <f>SUM(C88:H88)</f>
        <v/>
      </c>
      <c r="P88">
        <f>I88</f>
        <v/>
      </c>
      <c r="Q88">
        <f>J88</f>
        <v/>
      </c>
      <c r="R88">
        <f>SUM(K88:M88)</f>
        <v/>
      </c>
      <c r="S88">
        <f>SUM(O88:R88)</f>
        <v/>
      </c>
      <c r="T88" s="3">
        <f>IF(S88=0,"",O88/S88)</f>
        <v/>
      </c>
      <c r="U88" s="3">
        <f>IF(S88=0,"",P88/S88)</f>
        <v/>
      </c>
      <c r="V88" s="3">
        <f>IF(S88=0,"",Q88/S88)</f>
        <v/>
      </c>
      <c r="W88" s="3">
        <f>IF(S88=0,"",R88/S88)</f>
        <v/>
      </c>
      <c r="X88" s="4">
        <f>IF(S88=0,"",T88*Pesos!$B$2+U88*Pesos!$B$3+V88*Pesos!$B$4+W88*Pesos!$B$5)</f>
        <v/>
      </c>
    </row>
    <row r="89">
      <c r="A89" s="2" t="n">
        <v>88</v>
      </c>
      <c r="B89" t="n">
        <v>9</v>
      </c>
      <c r="C89" t="n">
        <v>655</v>
      </c>
      <c r="D89" t="n">
        <v>610</v>
      </c>
      <c r="E89" t="n">
        <v>660</v>
      </c>
      <c r="F89" t="n">
        <v>525</v>
      </c>
      <c r="G89" t="n">
        <v>645</v>
      </c>
      <c r="H89" t="n">
        <v>700</v>
      </c>
      <c r="I89" t="n">
        <v>2395</v>
      </c>
      <c r="J89" t="n">
        <v>4395</v>
      </c>
      <c r="K89" t="n">
        <v>4325</v>
      </c>
      <c r="L89" t="n">
        <v>1670</v>
      </c>
      <c r="M89" t="n">
        <v>50</v>
      </c>
      <c r="N89" s="6" t="n">
        <v>16635</v>
      </c>
      <c r="O89">
        <f>SUM(C89:H89)</f>
        <v/>
      </c>
      <c r="P89">
        <f>I89</f>
        <v/>
      </c>
      <c r="Q89">
        <f>J89</f>
        <v/>
      </c>
      <c r="R89">
        <f>SUM(K89:M89)</f>
        <v/>
      </c>
      <c r="S89">
        <f>SUM(O89:R89)</f>
        <v/>
      </c>
      <c r="T89" s="3">
        <f>IF(S89=0,"",O89/S89)</f>
        <v/>
      </c>
      <c r="U89" s="3">
        <f>IF(S89=0,"",P89/S89)</f>
        <v/>
      </c>
      <c r="V89" s="3">
        <f>IF(S89=0,"",Q89/S89)</f>
        <v/>
      </c>
      <c r="W89" s="3">
        <f>IF(S89=0,"",R89/S89)</f>
        <v/>
      </c>
      <c r="X89" s="4">
        <f>IF(S89=0,"",T89*Pesos!$B$2+U89*Pesos!$B$3+V89*Pesos!$B$4+W89*Pesos!$B$5)</f>
        <v/>
      </c>
    </row>
    <row r="90">
      <c r="A90" s="2" t="n">
        <v>89</v>
      </c>
      <c r="B90" t="n">
        <v>8</v>
      </c>
      <c r="C90" t="n">
        <v>680</v>
      </c>
      <c r="D90" t="n">
        <v>425</v>
      </c>
      <c r="E90" t="n">
        <v>520</v>
      </c>
      <c r="F90" t="n">
        <v>490</v>
      </c>
      <c r="G90" t="n">
        <v>235</v>
      </c>
      <c r="H90" t="n">
        <v>265</v>
      </c>
      <c r="I90" t="n">
        <v>1115</v>
      </c>
      <c r="J90" t="n">
        <v>2335</v>
      </c>
      <c r="K90" t="n">
        <v>1970</v>
      </c>
      <c r="L90" t="n">
        <v>1590</v>
      </c>
      <c r="M90" t="n">
        <v>65</v>
      </c>
      <c r="N90" s="6" t="n">
        <v>9695</v>
      </c>
      <c r="O90">
        <f>SUM(C90:H90)</f>
        <v/>
      </c>
      <c r="P90">
        <f>I90</f>
        <v/>
      </c>
      <c r="Q90">
        <f>J90</f>
        <v/>
      </c>
      <c r="R90">
        <f>SUM(K90:M90)</f>
        <v/>
      </c>
      <c r="S90">
        <f>SUM(O90:R90)</f>
        <v/>
      </c>
      <c r="T90" s="3">
        <f>IF(S90=0,"",O90/S90)</f>
        <v/>
      </c>
      <c r="U90" s="3">
        <f>IF(S90=0,"",P90/S90)</f>
        <v/>
      </c>
      <c r="V90" s="3">
        <f>IF(S90=0,"",Q90/S90)</f>
        <v/>
      </c>
      <c r="W90" s="3">
        <f>IF(S90=0,"",R90/S90)</f>
        <v/>
      </c>
      <c r="X90" s="4">
        <f>IF(S90=0,"",T90*Pesos!$B$2+U90*Pesos!$B$3+V90*Pesos!$B$4+W90*Pesos!$B$5)</f>
        <v/>
      </c>
    </row>
    <row r="91">
      <c r="A91" s="2" t="n">
        <v>90</v>
      </c>
      <c r="B91" t="n">
        <v>12</v>
      </c>
      <c r="C91" t="n">
        <v>765</v>
      </c>
      <c r="D91" t="n">
        <v>730</v>
      </c>
      <c r="E91" t="n">
        <v>845</v>
      </c>
      <c r="F91" t="n">
        <v>335</v>
      </c>
      <c r="G91" t="n">
        <v>680</v>
      </c>
      <c r="H91" t="n">
        <v>860</v>
      </c>
      <c r="I91" t="n">
        <v>1860</v>
      </c>
      <c r="J91" t="n">
        <v>3460</v>
      </c>
      <c r="K91" t="n">
        <v>5140</v>
      </c>
      <c r="L91" t="n">
        <v>2400</v>
      </c>
      <c r="M91" s="7" t="n">
        <v>20</v>
      </c>
      <c r="N91" s="6" t="n">
        <v>17095</v>
      </c>
      <c r="O91">
        <f>SUM(C91:H91)</f>
        <v/>
      </c>
      <c r="P91">
        <f>I91</f>
        <v/>
      </c>
      <c r="Q91">
        <f>J91</f>
        <v/>
      </c>
      <c r="R91">
        <f>SUM(K91:M91)</f>
        <v/>
      </c>
      <c r="S91">
        <f>SUM(O91:R91)</f>
        <v/>
      </c>
      <c r="T91" s="3">
        <f>IF(S91=0,"",O91/S91)</f>
        <v/>
      </c>
      <c r="U91" s="3">
        <f>IF(S91=0,"",P91/S91)</f>
        <v/>
      </c>
      <c r="V91" s="3">
        <f>IF(S91=0,"",Q91/S91)</f>
        <v/>
      </c>
      <c r="W91" s="3">
        <f>IF(S91=0,"",R91/S91)</f>
        <v/>
      </c>
      <c r="X91" s="4">
        <f>IF(S91=0,"",T91*Pesos!$B$2+U91*Pesos!$B$3+V91*Pesos!$B$4+W91*Pesos!$B$5)</f>
        <v/>
      </c>
    </row>
    <row r="92">
      <c r="A92" s="2" t="n">
        <v>91</v>
      </c>
      <c r="B92" t="n">
        <v>9</v>
      </c>
      <c r="C92" t="n">
        <v>1505</v>
      </c>
      <c r="D92" t="n">
        <v>2030</v>
      </c>
      <c r="E92" t="n">
        <v>1645</v>
      </c>
      <c r="F92" t="n">
        <v>1335</v>
      </c>
      <c r="G92" t="n">
        <v>1670</v>
      </c>
      <c r="H92" t="n">
        <v>1045</v>
      </c>
      <c r="I92" t="n">
        <v>2540</v>
      </c>
      <c r="J92" t="n">
        <v>2625</v>
      </c>
      <c r="K92" t="n">
        <v>5140</v>
      </c>
      <c r="L92" t="n">
        <v>995</v>
      </c>
      <c r="M92" s="7" t="n">
        <v>20</v>
      </c>
      <c r="N92" s="6" t="n">
        <v>20550</v>
      </c>
      <c r="O92">
        <f>SUM(C92:H92)</f>
        <v/>
      </c>
      <c r="P92">
        <f>I92</f>
        <v/>
      </c>
      <c r="Q92">
        <f>J92</f>
        <v/>
      </c>
      <c r="R92">
        <f>SUM(K92:M92)</f>
        <v/>
      </c>
      <c r="S92">
        <f>SUM(O92:R92)</f>
        <v/>
      </c>
      <c r="T92" s="3">
        <f>IF(S92=0,"",O92/S92)</f>
        <v/>
      </c>
      <c r="U92" s="3">
        <f>IF(S92=0,"",P92/S92)</f>
        <v/>
      </c>
      <c r="V92" s="3">
        <f>IF(S92=0,"",Q92/S92)</f>
        <v/>
      </c>
      <c r="W92" s="3">
        <f>IF(S92=0,"",R92/S92)</f>
        <v/>
      </c>
      <c r="X92" s="4">
        <f>IF(S92=0,"",T92*Pesos!$B$2+U92*Pesos!$B$3+V92*Pesos!$B$4+W92*Pesos!$B$5)</f>
        <v/>
      </c>
    </row>
    <row r="93">
      <c r="A93" s="2" t="n">
        <v>92</v>
      </c>
      <c r="B93" t="n">
        <v>12</v>
      </c>
      <c r="C93" t="n">
        <v>760</v>
      </c>
      <c r="D93" t="n">
        <v>1155</v>
      </c>
      <c r="E93" t="n">
        <v>1205</v>
      </c>
      <c r="F93" t="n">
        <v>1080</v>
      </c>
      <c r="G93" t="n">
        <v>920</v>
      </c>
      <c r="H93" t="n">
        <v>1320</v>
      </c>
      <c r="I93" t="n">
        <v>7960</v>
      </c>
      <c r="J93" t="n">
        <v>10825</v>
      </c>
      <c r="K93" t="n">
        <v>600</v>
      </c>
      <c r="L93" t="n">
        <v>400</v>
      </c>
      <c r="M93" s="7" t="n">
        <v>10</v>
      </c>
      <c r="N93" s="6" t="n">
        <v>26235</v>
      </c>
      <c r="O93">
        <f>SUM(C93:H93)</f>
        <v/>
      </c>
      <c r="P93">
        <f>I93</f>
        <v/>
      </c>
      <c r="Q93">
        <f>J93</f>
        <v/>
      </c>
      <c r="R93">
        <f>SUM(K93:M93)</f>
        <v/>
      </c>
      <c r="S93">
        <f>SUM(O93:R93)</f>
        <v/>
      </c>
      <c r="T93" s="3">
        <f>IF(S93=0,"",O93/S93)</f>
        <v/>
      </c>
      <c r="U93" s="3">
        <f>IF(S93=0,"",P93/S93)</f>
        <v/>
      </c>
      <c r="V93" s="3">
        <f>IF(S93=0,"",Q93/S93)</f>
        <v/>
      </c>
      <c r="W93" s="3">
        <f>IF(S93=0,"",R93/S93)</f>
        <v/>
      </c>
      <c r="X93" s="4">
        <f>IF(S93=0,"",T93*Pesos!$B$2+U93*Pesos!$B$3+V93*Pesos!$B$4+W93*Pesos!$B$5)</f>
        <v/>
      </c>
    </row>
    <row r="94">
      <c r="A94" s="2" t="n">
        <v>93</v>
      </c>
      <c r="B94" t="n">
        <v>13</v>
      </c>
      <c r="C94" t="n">
        <v>2390</v>
      </c>
      <c r="D94" t="n">
        <v>2005</v>
      </c>
      <c r="E94" t="n">
        <v>1815</v>
      </c>
      <c r="F94" t="n">
        <v>2255</v>
      </c>
      <c r="G94" t="n">
        <v>2325</v>
      </c>
      <c r="H94" t="n">
        <v>2445</v>
      </c>
      <c r="I94" t="n">
        <v>7540</v>
      </c>
      <c r="J94" t="n">
        <v>8425</v>
      </c>
      <c r="K94" t="n">
        <v>2105</v>
      </c>
      <c r="L94" t="n">
        <v>590</v>
      </c>
      <c r="M94" t="n">
        <v>465</v>
      </c>
      <c r="N94" s="6" t="n">
        <v>32360</v>
      </c>
      <c r="O94">
        <f>SUM(C94:H94)</f>
        <v/>
      </c>
      <c r="P94">
        <f>I94</f>
        <v/>
      </c>
      <c r="Q94">
        <f>J94</f>
        <v/>
      </c>
      <c r="R94">
        <f>SUM(K94:M94)</f>
        <v/>
      </c>
      <c r="S94">
        <f>SUM(O94:R94)</f>
        <v/>
      </c>
      <c r="T94" s="3">
        <f>IF(S94=0,"",O94/S94)</f>
        <v/>
      </c>
      <c r="U94" s="3">
        <f>IF(S94=0,"",P94/S94)</f>
        <v/>
      </c>
      <c r="V94" s="3">
        <f>IF(S94=0,"",Q94/S94)</f>
        <v/>
      </c>
      <c r="W94" s="3">
        <f>IF(S94=0,"",R94/S94)</f>
        <v/>
      </c>
      <c r="X94" s="4">
        <f>IF(S94=0,"",T94*Pesos!$B$2+U94*Pesos!$B$3+V94*Pesos!$B$4+W94*Pesos!$B$5)</f>
        <v/>
      </c>
    </row>
    <row r="95">
      <c r="A95" s="2" t="n">
        <v>94</v>
      </c>
      <c r="B95" t="n">
        <v>8</v>
      </c>
      <c r="C95" t="n">
        <v>455</v>
      </c>
      <c r="D95" t="n">
        <v>570</v>
      </c>
      <c r="E95" t="n">
        <v>750</v>
      </c>
      <c r="F95" t="n">
        <v>705</v>
      </c>
      <c r="G95" t="n">
        <v>495</v>
      </c>
      <c r="H95" t="n">
        <v>450</v>
      </c>
      <c r="I95" t="n">
        <v>1820</v>
      </c>
      <c r="J95" t="n">
        <v>2130</v>
      </c>
      <c r="K95" t="n">
        <v>1780</v>
      </c>
      <c r="L95" t="n">
        <v>2215</v>
      </c>
      <c r="M95" t="n">
        <v>1000</v>
      </c>
      <c r="N95" s="6" t="n">
        <v>12360</v>
      </c>
      <c r="O95">
        <f>SUM(C95:H95)</f>
        <v/>
      </c>
      <c r="P95">
        <f>I95</f>
        <v/>
      </c>
      <c r="Q95">
        <f>J95</f>
        <v/>
      </c>
      <c r="R95">
        <f>SUM(K95:M95)</f>
        <v/>
      </c>
      <c r="S95">
        <f>SUM(O95:R95)</f>
        <v/>
      </c>
      <c r="T95" s="3">
        <f>IF(S95=0,"",O95/S95)</f>
        <v/>
      </c>
      <c r="U95" s="3">
        <f>IF(S95=0,"",P95/S95)</f>
        <v/>
      </c>
      <c r="V95" s="3">
        <f>IF(S95=0,"",Q95/S95)</f>
        <v/>
      </c>
      <c r="W95" s="3">
        <f>IF(S95=0,"",R95/S95)</f>
        <v/>
      </c>
      <c r="X95" s="4">
        <f>IF(S95=0,"",T95*Pesos!$B$2+U95*Pesos!$B$3+V95*Pesos!$B$4+W95*Pesos!$B$5)</f>
        <v/>
      </c>
    </row>
    <row r="96">
      <c r="A96" s="2" t="n">
        <v>95</v>
      </c>
      <c r="B96" t="n">
        <v>10</v>
      </c>
      <c r="C96" t="n">
        <v>800</v>
      </c>
      <c r="D96" t="n">
        <v>755</v>
      </c>
      <c r="E96" t="n">
        <v>645</v>
      </c>
      <c r="F96" t="n">
        <v>600</v>
      </c>
      <c r="G96" t="n">
        <v>465</v>
      </c>
      <c r="H96" t="n">
        <v>590</v>
      </c>
      <c r="I96" t="n">
        <v>2080</v>
      </c>
      <c r="J96" t="n">
        <v>3595</v>
      </c>
      <c r="K96" t="n">
        <v>1920</v>
      </c>
      <c r="L96" t="n">
        <v>2145</v>
      </c>
      <c r="M96" t="n">
        <v>880</v>
      </c>
      <c r="N96" s="6" t="n">
        <v>14475</v>
      </c>
      <c r="O96">
        <f>SUM(C96:H96)</f>
        <v/>
      </c>
      <c r="P96">
        <f>I96</f>
        <v/>
      </c>
      <c r="Q96">
        <f>J96</f>
        <v/>
      </c>
      <c r="R96">
        <f>SUM(K96:M96)</f>
        <v/>
      </c>
      <c r="S96">
        <f>SUM(O96:R96)</f>
        <v/>
      </c>
      <c r="T96" s="3">
        <f>IF(S96=0,"",O96/S96)</f>
        <v/>
      </c>
      <c r="U96" s="3">
        <f>IF(S96=0,"",P96/S96)</f>
        <v/>
      </c>
      <c r="V96" s="3">
        <f>IF(S96=0,"",Q96/S96)</f>
        <v/>
      </c>
      <c r="W96" s="3">
        <f>IF(S96=0,"",R96/S96)</f>
        <v/>
      </c>
      <c r="X96" s="4">
        <f>IF(S96=0,"",T96*Pesos!$B$2+U96*Pesos!$B$3+V96*Pesos!$B$4+W96*Pesos!$B$5)</f>
        <v/>
      </c>
    </row>
    <row r="97">
      <c r="A97" s="2" t="n">
        <v>96</v>
      </c>
      <c r="B97" t="n">
        <v>7</v>
      </c>
      <c r="C97" t="n">
        <v>1025</v>
      </c>
      <c r="D97" t="n">
        <v>375</v>
      </c>
      <c r="E97" t="n">
        <v>395</v>
      </c>
      <c r="F97" t="n">
        <v>585</v>
      </c>
      <c r="G97" t="n">
        <v>425</v>
      </c>
      <c r="H97" t="n">
        <v>490</v>
      </c>
      <c r="I97" t="n">
        <v>1220</v>
      </c>
      <c r="J97" t="n">
        <v>1740</v>
      </c>
      <c r="K97" t="n">
        <v>1385</v>
      </c>
      <c r="L97" t="n">
        <v>785</v>
      </c>
      <c r="M97" t="n">
        <v>1210</v>
      </c>
      <c r="N97" s="6" t="n">
        <v>9630</v>
      </c>
      <c r="O97">
        <f>SUM(C97:H97)</f>
        <v/>
      </c>
      <c r="P97">
        <f>I97</f>
        <v/>
      </c>
      <c r="Q97">
        <f>J97</f>
        <v/>
      </c>
      <c r="R97">
        <f>SUM(K97:M97)</f>
        <v/>
      </c>
      <c r="S97">
        <f>SUM(O97:R97)</f>
        <v/>
      </c>
      <c r="T97" s="3">
        <f>IF(S97=0,"",O97/S97)</f>
        <v/>
      </c>
      <c r="U97" s="3">
        <f>IF(S97=0,"",P97/S97)</f>
        <v/>
      </c>
      <c r="V97" s="3">
        <f>IF(S97=0,"",Q97/S97)</f>
        <v/>
      </c>
      <c r="W97" s="3">
        <f>IF(S97=0,"",R97/S97)</f>
        <v/>
      </c>
      <c r="X97" s="4">
        <f>IF(S97=0,"",T97*Pesos!$B$2+U97*Pesos!$B$3+V97*Pesos!$B$4+W97*Pesos!$B$5)</f>
        <v/>
      </c>
    </row>
    <row r="98">
      <c r="A98" s="2" t="n">
        <v>97</v>
      </c>
      <c r="B98" t="n">
        <v>8</v>
      </c>
      <c r="C98" t="n">
        <v>720</v>
      </c>
      <c r="D98" t="n">
        <v>1575</v>
      </c>
      <c r="E98" t="n">
        <v>865</v>
      </c>
      <c r="F98" t="n">
        <v>1235</v>
      </c>
      <c r="G98" t="n">
        <v>1185</v>
      </c>
      <c r="H98" t="n">
        <v>990</v>
      </c>
      <c r="I98" t="n">
        <v>3675</v>
      </c>
      <c r="J98" t="n">
        <v>11065</v>
      </c>
      <c r="K98" t="n">
        <v>335</v>
      </c>
      <c r="L98" t="n">
        <v>150</v>
      </c>
      <c r="M98" t="n">
        <v>230</v>
      </c>
      <c r="N98" s="6" t="n">
        <v>22025</v>
      </c>
      <c r="O98">
        <f>SUM(C98:H98)</f>
        <v/>
      </c>
      <c r="P98">
        <f>I98</f>
        <v/>
      </c>
      <c r="Q98">
        <f>J98</f>
        <v/>
      </c>
      <c r="R98">
        <f>SUM(K98:M98)</f>
        <v/>
      </c>
      <c r="S98">
        <f>SUM(O98:R98)</f>
        <v/>
      </c>
      <c r="T98" s="3">
        <f>IF(S98=0,"",O98/S98)</f>
        <v/>
      </c>
      <c r="U98" s="3">
        <f>IF(S98=0,"",P98/S98)</f>
        <v/>
      </c>
      <c r="V98" s="3">
        <f>IF(S98=0,"",Q98/S98)</f>
        <v/>
      </c>
      <c r="W98" s="3">
        <f>IF(S98=0,"",R98/S98)</f>
        <v/>
      </c>
      <c r="X98" s="4">
        <f>IF(S98=0,"",T98*Pesos!$B$2+U98*Pesos!$B$3+V98*Pesos!$B$4+W98*Pesos!$B$5)</f>
        <v/>
      </c>
    </row>
    <row r="99">
      <c r="A99" s="2" t="n">
        <v>98</v>
      </c>
      <c r="B99" t="n">
        <v>7</v>
      </c>
      <c r="C99" t="n">
        <v>575</v>
      </c>
      <c r="D99" t="n">
        <v>825</v>
      </c>
      <c r="E99" t="n">
        <v>645</v>
      </c>
      <c r="F99" t="n">
        <v>295</v>
      </c>
      <c r="G99" t="n">
        <v>180</v>
      </c>
      <c r="H99" t="n">
        <v>330</v>
      </c>
      <c r="I99" t="n">
        <v>1200</v>
      </c>
      <c r="J99" t="n">
        <v>995</v>
      </c>
      <c r="K99" t="n">
        <v>1230</v>
      </c>
      <c r="L99" t="n">
        <v>1800</v>
      </c>
      <c r="M99" t="n">
        <v>1100</v>
      </c>
      <c r="N99" s="6" t="n">
        <v>9170</v>
      </c>
      <c r="O99">
        <f>SUM(C99:H99)</f>
        <v/>
      </c>
      <c r="P99">
        <f>I99</f>
        <v/>
      </c>
      <c r="Q99">
        <f>J99</f>
        <v/>
      </c>
      <c r="R99">
        <f>SUM(K99:M99)</f>
        <v/>
      </c>
      <c r="S99">
        <f>SUM(O99:R99)</f>
        <v/>
      </c>
      <c r="T99" s="3">
        <f>IF(S99=0,"",O99/S99)</f>
        <v/>
      </c>
      <c r="U99" s="3">
        <f>IF(S99=0,"",P99/S99)</f>
        <v/>
      </c>
      <c r="V99" s="3">
        <f>IF(S99=0,"",Q99/S99)</f>
        <v/>
      </c>
      <c r="W99" s="3">
        <f>IF(S99=0,"",R99/S99)</f>
        <v/>
      </c>
      <c r="X99" s="4">
        <f>IF(S99=0,"",T99*Pesos!$B$2+U99*Pesos!$B$3+V99*Pesos!$B$4+W99*Pesos!$B$5)</f>
        <v/>
      </c>
    </row>
    <row r="100">
      <c r="A100" s="2" t="n">
        <v>99</v>
      </c>
      <c r="B100" t="n">
        <v>7</v>
      </c>
      <c r="C100" t="n">
        <v>735</v>
      </c>
      <c r="D100" t="n">
        <v>985</v>
      </c>
      <c r="E100" t="n">
        <v>785</v>
      </c>
      <c r="F100" t="n">
        <v>665</v>
      </c>
      <c r="G100" t="n">
        <v>255</v>
      </c>
      <c r="H100" t="n">
        <v>525</v>
      </c>
      <c r="I100" t="n">
        <v>2105</v>
      </c>
      <c r="J100" t="n">
        <v>1955</v>
      </c>
      <c r="K100" t="n">
        <v>660</v>
      </c>
      <c r="L100" t="n">
        <v>1575</v>
      </c>
      <c r="M100" t="n">
        <v>750</v>
      </c>
      <c r="N100" s="6" t="n">
        <v>11000</v>
      </c>
      <c r="O100">
        <f>SUM(C100:H100)</f>
        <v/>
      </c>
      <c r="P100">
        <f>I100</f>
        <v/>
      </c>
      <c r="Q100">
        <f>J100</f>
        <v/>
      </c>
      <c r="R100">
        <f>SUM(K100:M100)</f>
        <v/>
      </c>
      <c r="S100">
        <f>SUM(O100:R100)</f>
        <v/>
      </c>
      <c r="T100" s="3">
        <f>IF(S100=0,"",O100/S100)</f>
        <v/>
      </c>
      <c r="U100" s="3">
        <f>IF(S100=0,"",P100/S100)</f>
        <v/>
      </c>
      <c r="V100" s="3">
        <f>IF(S100=0,"",Q100/S100)</f>
        <v/>
      </c>
      <c r="W100" s="3">
        <f>IF(S100=0,"",R100/S100)</f>
        <v/>
      </c>
      <c r="X100" s="4">
        <f>IF(S100=0,"",T100*Pesos!$B$2+U100*Pesos!$B$3+V100*Pesos!$B$4+W100*Pesos!$B$5)</f>
        <v/>
      </c>
    </row>
    <row r="101">
      <c r="A101" s="2" t="n">
        <v>100</v>
      </c>
      <c r="B101" t="n">
        <v>10</v>
      </c>
      <c r="C101" t="n">
        <v>920</v>
      </c>
      <c r="D101" t="n">
        <v>1440</v>
      </c>
      <c r="E101" t="n">
        <v>2155</v>
      </c>
      <c r="F101" t="n">
        <v>3395</v>
      </c>
      <c r="G101" t="n">
        <v>2835</v>
      </c>
      <c r="H101" t="n">
        <v>1110</v>
      </c>
      <c r="I101" t="n">
        <v>2520</v>
      </c>
      <c r="J101" t="n">
        <v>2865</v>
      </c>
      <c r="K101" t="n">
        <v>1265</v>
      </c>
      <c r="L101" t="n">
        <v>610</v>
      </c>
      <c r="M101" t="n">
        <v>440</v>
      </c>
      <c r="N101" s="6" t="n">
        <v>19555</v>
      </c>
      <c r="O101">
        <f>SUM(C101:H101)</f>
        <v/>
      </c>
      <c r="P101">
        <f>I101</f>
        <v/>
      </c>
      <c r="Q101">
        <f>J101</f>
        <v/>
      </c>
      <c r="R101">
        <f>SUM(K101:M101)</f>
        <v/>
      </c>
      <c r="S101">
        <f>SUM(O101:R101)</f>
        <v/>
      </c>
      <c r="T101" s="3">
        <f>IF(S101=0,"",O101/S101)</f>
        <v/>
      </c>
      <c r="U101" s="3">
        <f>IF(S101=0,"",P101/S101)</f>
        <v/>
      </c>
      <c r="V101" s="3">
        <f>IF(S101=0,"",Q101/S101)</f>
        <v/>
      </c>
      <c r="W101" s="3">
        <f>IF(S101=0,"",R101/S101)</f>
        <v/>
      </c>
      <c r="X101" s="4">
        <f>IF(S101=0,"",T101*Pesos!$B$2+U101*Pesos!$B$3+V101*Pesos!$B$4+W101*Pesos!$B$5)</f>
        <v/>
      </c>
    </row>
    <row r="102">
      <c r="A102" s="2" t="n">
        <v>101</v>
      </c>
      <c r="B102" t="n">
        <v>8</v>
      </c>
      <c r="C102" t="n">
        <v>135</v>
      </c>
      <c r="D102" t="n">
        <v>260</v>
      </c>
      <c r="E102" t="n">
        <v>90</v>
      </c>
      <c r="F102" t="n">
        <v>105</v>
      </c>
      <c r="G102" t="n">
        <v>250</v>
      </c>
      <c r="H102" s="7" t="n">
        <v>55</v>
      </c>
      <c r="I102" t="n">
        <v>355</v>
      </c>
      <c r="J102" t="n">
        <v>1010</v>
      </c>
      <c r="K102" t="n">
        <v>5810</v>
      </c>
      <c r="L102" t="n">
        <v>115</v>
      </c>
      <c r="M102" s="7" t="n">
        <v>45</v>
      </c>
      <c r="N102" s="6" t="n">
        <v>8230</v>
      </c>
      <c r="O102">
        <f>SUM(C102:H102)</f>
        <v/>
      </c>
      <c r="P102">
        <f>I102</f>
        <v/>
      </c>
      <c r="Q102">
        <f>J102</f>
        <v/>
      </c>
      <c r="R102">
        <f>SUM(K102:M102)</f>
        <v/>
      </c>
      <c r="S102">
        <f>SUM(O102:R102)</f>
        <v/>
      </c>
      <c r="T102" s="3">
        <f>IF(S102=0,"",O102/S102)</f>
        <v/>
      </c>
      <c r="U102" s="3">
        <f>IF(S102=0,"",P102/S102)</f>
        <v/>
      </c>
      <c r="V102" s="3">
        <f>IF(S102=0,"",Q102/S102)</f>
        <v/>
      </c>
      <c r="W102" s="3">
        <f>IF(S102=0,"",R102/S102)</f>
        <v/>
      </c>
      <c r="X102" s="4">
        <f>IF(S102=0,"",T102*Pesos!$B$2+U102*Pesos!$B$3+V102*Pesos!$B$4+W102*Pesos!$B$5)</f>
        <v/>
      </c>
    </row>
    <row r="103">
      <c r="A103" s="2" t="n">
        <v>102</v>
      </c>
      <c r="B103" t="n">
        <v>8</v>
      </c>
      <c r="C103" t="n">
        <v>260</v>
      </c>
      <c r="D103" t="n">
        <v>205</v>
      </c>
      <c r="E103" t="n">
        <v>415</v>
      </c>
      <c r="F103" t="n">
        <v>155</v>
      </c>
      <c r="G103" t="n">
        <v>180</v>
      </c>
      <c r="H103" t="n">
        <v>215</v>
      </c>
      <c r="I103" t="n">
        <v>1700</v>
      </c>
      <c r="J103" t="n">
        <v>4150</v>
      </c>
      <c r="K103" t="n">
        <v>3065</v>
      </c>
      <c r="L103" t="n">
        <v>145</v>
      </c>
      <c r="M103" t="n">
        <v>50</v>
      </c>
      <c r="N103" s="6" t="n">
        <v>10540</v>
      </c>
      <c r="O103">
        <f>SUM(C103:H103)</f>
        <v/>
      </c>
      <c r="P103">
        <f>I103</f>
        <v/>
      </c>
      <c r="Q103">
        <f>J103</f>
        <v/>
      </c>
      <c r="R103">
        <f>SUM(K103:M103)</f>
        <v/>
      </c>
      <c r="S103">
        <f>SUM(O103:R103)</f>
        <v/>
      </c>
      <c r="T103" s="3">
        <f>IF(S103=0,"",O103/S103)</f>
        <v/>
      </c>
      <c r="U103" s="3">
        <f>IF(S103=0,"",P103/S103)</f>
        <v/>
      </c>
      <c r="V103" s="3">
        <f>IF(S103=0,"",Q103/S103)</f>
        <v/>
      </c>
      <c r="W103" s="3">
        <f>IF(S103=0,"",R103/S103)</f>
        <v/>
      </c>
      <c r="X103" s="4">
        <f>IF(S103=0,"",T103*Pesos!$B$2+U103*Pesos!$B$3+V103*Pesos!$B$4+W103*Pesos!$B$5)</f>
        <v/>
      </c>
    </row>
    <row r="104">
      <c r="A104" s="2" t="n">
        <v>103</v>
      </c>
      <c r="B104" t="n">
        <v>9</v>
      </c>
      <c r="C104" t="n">
        <v>810</v>
      </c>
      <c r="D104" t="n">
        <v>355</v>
      </c>
      <c r="E104" t="n">
        <v>390</v>
      </c>
      <c r="F104" t="n">
        <v>470</v>
      </c>
      <c r="G104" t="n">
        <v>1080</v>
      </c>
      <c r="H104" t="n">
        <v>465</v>
      </c>
      <c r="I104" t="n">
        <v>1850</v>
      </c>
      <c r="J104" t="n">
        <v>2185</v>
      </c>
      <c r="K104" t="n">
        <v>875</v>
      </c>
      <c r="L104" t="n">
        <v>2330</v>
      </c>
      <c r="M104" t="n">
        <v>225</v>
      </c>
      <c r="N104" s="6" t="n">
        <v>11040</v>
      </c>
      <c r="O104">
        <f>SUM(C104:H104)</f>
        <v/>
      </c>
      <c r="P104">
        <f>I104</f>
        <v/>
      </c>
      <c r="Q104">
        <f>J104</f>
        <v/>
      </c>
      <c r="R104">
        <f>SUM(K104:M104)</f>
        <v/>
      </c>
      <c r="S104">
        <f>SUM(O104:R104)</f>
        <v/>
      </c>
      <c r="T104" s="3">
        <f>IF(S104=0,"",O104/S104)</f>
        <v/>
      </c>
      <c r="U104" s="3">
        <f>IF(S104=0,"",P104/S104)</f>
        <v/>
      </c>
      <c r="V104" s="3">
        <f>IF(S104=0,"",Q104/S104)</f>
        <v/>
      </c>
      <c r="W104" s="3">
        <f>IF(S104=0,"",R104/S104)</f>
        <v/>
      </c>
      <c r="X104" s="4">
        <f>IF(S104=0,"",T104*Pesos!$B$2+U104*Pesos!$B$3+V104*Pesos!$B$4+W104*Pesos!$B$5)</f>
        <v/>
      </c>
    </row>
    <row r="105">
      <c r="A105" s="2" t="n">
        <v>104</v>
      </c>
      <c r="B105" t="n">
        <v>7</v>
      </c>
      <c r="C105" t="n">
        <v>220</v>
      </c>
      <c r="D105" t="n">
        <v>230</v>
      </c>
      <c r="E105" t="n">
        <v>405</v>
      </c>
      <c r="F105" t="n">
        <v>395</v>
      </c>
      <c r="G105" t="n">
        <v>305</v>
      </c>
      <c r="H105" t="n">
        <v>340</v>
      </c>
      <c r="I105" t="n">
        <v>1245</v>
      </c>
      <c r="J105" t="n">
        <v>1665</v>
      </c>
      <c r="K105" t="n">
        <v>995</v>
      </c>
      <c r="L105" t="n">
        <v>1730</v>
      </c>
      <c r="M105" t="n">
        <v>660</v>
      </c>
      <c r="N105" s="6" t="n">
        <v>8180</v>
      </c>
      <c r="O105">
        <f>SUM(C105:H105)</f>
        <v/>
      </c>
      <c r="P105">
        <f>I105</f>
        <v/>
      </c>
      <c r="Q105">
        <f>J105</f>
        <v/>
      </c>
      <c r="R105">
        <f>SUM(K105:M105)</f>
        <v/>
      </c>
      <c r="S105">
        <f>SUM(O105:R105)</f>
        <v/>
      </c>
      <c r="T105" s="3">
        <f>IF(S105=0,"",O105/S105)</f>
        <v/>
      </c>
      <c r="U105" s="3">
        <f>IF(S105=0,"",P105/S105)</f>
        <v/>
      </c>
      <c r="V105" s="3">
        <f>IF(S105=0,"",Q105/S105)</f>
        <v/>
      </c>
      <c r="W105" s="3">
        <f>IF(S105=0,"",R105/S105)</f>
        <v/>
      </c>
      <c r="X105" s="4">
        <f>IF(S105=0,"",T105*Pesos!$B$2+U105*Pesos!$B$3+V105*Pesos!$B$4+W105*Pesos!$B$5)</f>
        <v/>
      </c>
    </row>
    <row r="106">
      <c r="A106" s="2" t="n">
        <v>105</v>
      </c>
      <c r="B106" t="n">
        <v>16</v>
      </c>
      <c r="C106" t="n">
        <v>2060</v>
      </c>
      <c r="D106" t="n">
        <v>2930</v>
      </c>
      <c r="E106" t="n">
        <v>3050</v>
      </c>
      <c r="F106" t="n">
        <v>1410</v>
      </c>
      <c r="G106" t="n">
        <v>2130</v>
      </c>
      <c r="H106" t="n">
        <v>2555</v>
      </c>
      <c r="I106" t="n">
        <v>7655</v>
      </c>
      <c r="J106" t="n">
        <v>5535</v>
      </c>
      <c r="K106" t="n">
        <v>2095</v>
      </c>
      <c r="L106" t="n">
        <v>1315</v>
      </c>
      <c r="M106" t="n">
        <v>410</v>
      </c>
      <c r="N106" s="6" t="n">
        <v>31155</v>
      </c>
      <c r="O106">
        <f>SUM(C106:H106)</f>
        <v/>
      </c>
      <c r="P106">
        <f>I106</f>
        <v/>
      </c>
      <c r="Q106">
        <f>J106</f>
        <v/>
      </c>
      <c r="R106">
        <f>SUM(K106:M106)</f>
        <v/>
      </c>
      <c r="S106">
        <f>SUM(O106:R106)</f>
        <v/>
      </c>
      <c r="T106" s="3">
        <f>IF(S106=0,"",O106/S106)</f>
        <v/>
      </c>
      <c r="U106" s="3">
        <f>IF(S106=0,"",P106/S106)</f>
        <v/>
      </c>
      <c r="V106" s="3">
        <f>IF(S106=0,"",Q106/S106)</f>
        <v/>
      </c>
      <c r="W106" s="3">
        <f>IF(S106=0,"",R106/S106)</f>
        <v/>
      </c>
      <c r="X106" s="4">
        <f>IF(S106=0,"",T106*Pesos!$B$2+U106*Pesos!$B$3+V106*Pesos!$B$4+W106*Pesos!$B$5)</f>
        <v/>
      </c>
    </row>
    <row r="107">
      <c r="A107" s="2" t="n">
        <v>106</v>
      </c>
      <c r="B107" t="n">
        <v>15</v>
      </c>
      <c r="C107" t="n">
        <v>1800</v>
      </c>
      <c r="D107" t="n">
        <v>2850</v>
      </c>
      <c r="E107" t="n">
        <v>1550</v>
      </c>
      <c r="F107" t="n">
        <v>1755</v>
      </c>
      <c r="G107" t="n">
        <v>1535</v>
      </c>
      <c r="H107" t="n">
        <v>2595</v>
      </c>
      <c r="I107" t="n">
        <v>8655</v>
      </c>
      <c r="J107" t="n">
        <v>6245</v>
      </c>
      <c r="K107" t="n">
        <v>1265</v>
      </c>
      <c r="L107" t="n">
        <v>650</v>
      </c>
      <c r="M107" t="n">
        <v>575</v>
      </c>
      <c r="N107" s="6" t="n">
        <v>29470</v>
      </c>
      <c r="O107">
        <f>SUM(C107:H107)</f>
        <v/>
      </c>
      <c r="P107">
        <f>I107</f>
        <v/>
      </c>
      <c r="Q107">
        <f>J107</f>
        <v/>
      </c>
      <c r="R107">
        <f>SUM(K107:M107)</f>
        <v/>
      </c>
      <c r="S107">
        <f>SUM(O107:R107)</f>
        <v/>
      </c>
      <c r="T107" s="3">
        <f>IF(S107=0,"",O107/S107)</f>
        <v/>
      </c>
      <c r="U107" s="3">
        <f>IF(S107=0,"",P107/S107)</f>
        <v/>
      </c>
      <c r="V107" s="3">
        <f>IF(S107=0,"",Q107/S107)</f>
        <v/>
      </c>
      <c r="W107" s="3">
        <f>IF(S107=0,"",R107/S107)</f>
        <v/>
      </c>
      <c r="X107" s="4">
        <f>IF(S107=0,"",T107*Pesos!$B$2+U107*Pesos!$B$3+V107*Pesos!$B$4+W107*Pesos!$B$5)</f>
        <v/>
      </c>
    </row>
    <row r="108">
      <c r="A108" s="2" t="n">
        <v>107</v>
      </c>
      <c r="B108" t="n">
        <v>8</v>
      </c>
      <c r="C108" t="n">
        <v>770</v>
      </c>
      <c r="D108" t="n">
        <v>1550</v>
      </c>
      <c r="E108" t="n">
        <v>1325</v>
      </c>
      <c r="F108" t="n">
        <v>1295</v>
      </c>
      <c r="G108" t="n">
        <v>1140</v>
      </c>
      <c r="H108" t="n">
        <v>980</v>
      </c>
      <c r="I108" t="n">
        <v>3340</v>
      </c>
      <c r="J108" t="n">
        <v>2785</v>
      </c>
      <c r="K108" t="n">
        <v>685</v>
      </c>
      <c r="L108" t="n">
        <v>325</v>
      </c>
      <c r="M108" t="n">
        <v>515</v>
      </c>
      <c r="N108" s="6" t="n">
        <v>14715</v>
      </c>
      <c r="O108">
        <f>SUM(C108:H108)</f>
        <v/>
      </c>
      <c r="P108">
        <f>I108</f>
        <v/>
      </c>
      <c r="Q108">
        <f>J108</f>
        <v/>
      </c>
      <c r="R108">
        <f>SUM(K108:M108)</f>
        <v/>
      </c>
      <c r="S108">
        <f>SUM(O108:R108)</f>
        <v/>
      </c>
      <c r="T108" s="3">
        <f>IF(S108=0,"",O108/S108)</f>
        <v/>
      </c>
      <c r="U108" s="3">
        <f>IF(S108=0,"",P108/S108)</f>
        <v/>
      </c>
      <c r="V108" s="3">
        <f>IF(S108=0,"",Q108/S108)</f>
        <v/>
      </c>
      <c r="W108" s="3">
        <f>IF(S108=0,"",R108/S108)</f>
        <v/>
      </c>
      <c r="X108" s="4">
        <f>IF(S108=0,"",T108*Pesos!$B$2+U108*Pesos!$B$3+V108*Pesos!$B$4+W108*Pesos!$B$5)</f>
        <v/>
      </c>
    </row>
    <row r="109">
      <c r="A109" s="2" t="n">
        <v>108</v>
      </c>
      <c r="B109" t="n">
        <v>8</v>
      </c>
      <c r="C109" t="n">
        <v>805</v>
      </c>
      <c r="D109" t="n">
        <v>1680</v>
      </c>
      <c r="E109" t="n">
        <v>1070</v>
      </c>
      <c r="F109" t="n">
        <v>740</v>
      </c>
      <c r="G109" t="n">
        <v>1090</v>
      </c>
      <c r="H109" t="n">
        <v>1005</v>
      </c>
      <c r="I109" t="n">
        <v>3360</v>
      </c>
      <c r="J109" t="n">
        <v>3225</v>
      </c>
      <c r="K109" t="n">
        <v>970</v>
      </c>
      <c r="L109" t="n">
        <v>935</v>
      </c>
      <c r="M109" t="n">
        <v>220</v>
      </c>
      <c r="N109" s="6" t="n">
        <v>15110</v>
      </c>
      <c r="O109">
        <f>SUM(C109:H109)</f>
        <v/>
      </c>
      <c r="P109">
        <f>I109</f>
        <v/>
      </c>
      <c r="Q109">
        <f>J109</f>
        <v/>
      </c>
      <c r="R109">
        <f>SUM(K109:M109)</f>
        <v/>
      </c>
      <c r="S109">
        <f>SUM(O109:R109)</f>
        <v/>
      </c>
      <c r="T109" s="3">
        <f>IF(S109=0,"",O109/S109)</f>
        <v/>
      </c>
      <c r="U109" s="3">
        <f>IF(S109=0,"",P109/S109)</f>
        <v/>
      </c>
      <c r="V109" s="3">
        <f>IF(S109=0,"",Q109/S109)</f>
        <v/>
      </c>
      <c r="W109" s="3">
        <f>IF(S109=0,"",R109/S109)</f>
        <v/>
      </c>
      <c r="X109" s="4">
        <f>IF(S109=0,"",T109*Pesos!$B$2+U109*Pesos!$B$3+V109*Pesos!$B$4+W109*Pesos!$B$5)</f>
        <v/>
      </c>
    </row>
    <row r="110">
      <c r="A110" s="2" t="n">
        <v>109</v>
      </c>
      <c r="B110" t="n">
        <v>13</v>
      </c>
      <c r="C110" t="n">
        <v>1225</v>
      </c>
      <c r="D110" t="n">
        <v>1935</v>
      </c>
      <c r="E110" t="n">
        <v>1585</v>
      </c>
      <c r="F110" t="n">
        <v>1645</v>
      </c>
      <c r="G110" t="n">
        <v>2340</v>
      </c>
      <c r="H110" t="n">
        <v>1780</v>
      </c>
      <c r="I110" t="n">
        <v>7750</v>
      </c>
      <c r="J110" t="n">
        <v>7825</v>
      </c>
      <c r="K110" t="n">
        <v>2850</v>
      </c>
      <c r="L110" t="n">
        <v>780</v>
      </c>
      <c r="M110" t="n">
        <v>295</v>
      </c>
      <c r="N110" s="6" t="n">
        <v>30010</v>
      </c>
      <c r="O110">
        <f>SUM(C110:H110)</f>
        <v/>
      </c>
      <c r="P110">
        <f>I110</f>
        <v/>
      </c>
      <c r="Q110">
        <f>J110</f>
        <v/>
      </c>
      <c r="R110">
        <f>SUM(K110:M110)</f>
        <v/>
      </c>
      <c r="S110">
        <f>SUM(O110:R110)</f>
        <v/>
      </c>
      <c r="T110" s="3">
        <f>IF(S110=0,"",O110/S110)</f>
        <v/>
      </c>
      <c r="U110" s="3">
        <f>IF(S110=0,"",P110/S110)</f>
        <v/>
      </c>
      <c r="V110" s="3">
        <f>IF(S110=0,"",Q110/S110)</f>
        <v/>
      </c>
      <c r="W110" s="3">
        <f>IF(S110=0,"",R110/S110)</f>
        <v/>
      </c>
      <c r="X110" s="4">
        <f>IF(S110=0,"",T110*Pesos!$B$2+U110*Pesos!$B$3+V110*Pesos!$B$4+W110*Pesos!$B$5)</f>
        <v/>
      </c>
    </row>
    <row r="111">
      <c r="A111" s="2" t="n">
        <v>110</v>
      </c>
      <c r="B111" t="n">
        <v>8</v>
      </c>
      <c r="C111" t="n">
        <v>775</v>
      </c>
      <c r="D111" t="n">
        <v>1565</v>
      </c>
      <c r="E111" t="n">
        <v>1195</v>
      </c>
      <c r="F111" t="n">
        <v>1465</v>
      </c>
      <c r="G111" t="n">
        <v>1025</v>
      </c>
      <c r="H111" t="n">
        <v>1330</v>
      </c>
      <c r="I111" t="n">
        <v>6535</v>
      </c>
      <c r="J111" t="n">
        <v>3070</v>
      </c>
      <c r="K111" t="n">
        <v>1430</v>
      </c>
      <c r="L111" t="n">
        <v>410</v>
      </c>
      <c r="M111" t="n">
        <v>60</v>
      </c>
      <c r="N111" s="6" t="n">
        <v>18850</v>
      </c>
      <c r="O111">
        <f>SUM(C111:H111)</f>
        <v/>
      </c>
      <c r="P111">
        <f>I111</f>
        <v/>
      </c>
      <c r="Q111">
        <f>J111</f>
        <v/>
      </c>
      <c r="R111">
        <f>SUM(K111:M111)</f>
        <v/>
      </c>
      <c r="S111">
        <f>SUM(O111:R111)</f>
        <v/>
      </c>
      <c r="T111" s="3">
        <f>IF(S111=0,"",O111/S111)</f>
        <v/>
      </c>
      <c r="U111" s="3">
        <f>IF(S111=0,"",P111/S111)</f>
        <v/>
      </c>
      <c r="V111" s="3">
        <f>IF(S111=0,"",Q111/S111)</f>
        <v/>
      </c>
      <c r="W111" s="3">
        <f>IF(S111=0,"",R111/S111)</f>
        <v/>
      </c>
      <c r="X111" s="4">
        <f>IF(S111=0,"",T111*Pesos!$B$2+U111*Pesos!$B$3+V111*Pesos!$B$4+W111*Pesos!$B$5)</f>
        <v/>
      </c>
    </row>
    <row r="112">
      <c r="A112" s="2" t="n">
        <v>111</v>
      </c>
      <c r="B112" t="n">
        <v>8</v>
      </c>
      <c r="C112" t="n">
        <v>590</v>
      </c>
      <c r="D112" t="n">
        <v>495</v>
      </c>
      <c r="E112" t="n">
        <v>695</v>
      </c>
      <c r="F112" t="n">
        <v>420</v>
      </c>
      <c r="G112" t="n">
        <v>255</v>
      </c>
      <c r="H112" t="n">
        <v>170</v>
      </c>
      <c r="I112" t="n">
        <v>1040</v>
      </c>
      <c r="J112" t="n">
        <v>1050</v>
      </c>
      <c r="K112" t="n">
        <v>1010</v>
      </c>
      <c r="L112" t="n">
        <v>1615</v>
      </c>
      <c r="M112" t="n">
        <v>550</v>
      </c>
      <c r="N112" s="6" t="n">
        <v>7885</v>
      </c>
      <c r="O112">
        <f>SUM(C112:H112)</f>
        <v/>
      </c>
      <c r="P112">
        <f>I112</f>
        <v/>
      </c>
      <c r="Q112">
        <f>J112</f>
        <v/>
      </c>
      <c r="R112">
        <f>SUM(K112:M112)</f>
        <v/>
      </c>
      <c r="S112">
        <f>SUM(O112:R112)</f>
        <v/>
      </c>
      <c r="T112" s="3">
        <f>IF(S112=0,"",O112/S112)</f>
        <v/>
      </c>
      <c r="U112" s="3">
        <f>IF(S112=0,"",P112/S112)</f>
        <v/>
      </c>
      <c r="V112" s="3">
        <f>IF(S112=0,"",Q112/S112)</f>
        <v/>
      </c>
      <c r="W112" s="3">
        <f>IF(S112=0,"",R112/S112)</f>
        <v/>
      </c>
      <c r="X112" s="4">
        <f>IF(S112=0,"",T112*Pesos!$B$2+U112*Pesos!$B$3+V112*Pesos!$B$4+W112*Pesos!$B$5)</f>
        <v/>
      </c>
    </row>
    <row r="113">
      <c r="A113" s="2" t="n">
        <v>112</v>
      </c>
      <c r="B113" t="n">
        <v>12</v>
      </c>
      <c r="C113" t="n">
        <v>1345</v>
      </c>
      <c r="D113" t="n">
        <v>1420</v>
      </c>
      <c r="E113" t="n">
        <v>2205</v>
      </c>
      <c r="F113" t="n">
        <v>1355</v>
      </c>
      <c r="G113" t="n">
        <v>650</v>
      </c>
      <c r="H113" t="n">
        <v>770</v>
      </c>
      <c r="I113" t="n">
        <v>2025</v>
      </c>
      <c r="J113" t="n">
        <v>3150</v>
      </c>
      <c r="K113" t="n">
        <v>2325</v>
      </c>
      <c r="L113" t="n">
        <v>2870</v>
      </c>
      <c r="M113" t="n">
        <v>1275</v>
      </c>
      <c r="N113" s="6" t="n">
        <v>19390</v>
      </c>
      <c r="O113">
        <f>SUM(C113:H113)</f>
        <v/>
      </c>
      <c r="P113">
        <f>I113</f>
        <v/>
      </c>
      <c r="Q113">
        <f>J113</f>
        <v/>
      </c>
      <c r="R113">
        <f>SUM(K113:M113)</f>
        <v/>
      </c>
      <c r="S113">
        <f>SUM(O113:R113)</f>
        <v/>
      </c>
      <c r="T113" s="3">
        <f>IF(S113=0,"",O113/S113)</f>
        <v/>
      </c>
      <c r="U113" s="3">
        <f>IF(S113=0,"",P113/S113)</f>
        <v/>
      </c>
      <c r="V113" s="3">
        <f>IF(S113=0,"",Q113/S113)</f>
        <v/>
      </c>
      <c r="W113" s="3">
        <f>IF(S113=0,"",R113/S113)</f>
        <v/>
      </c>
      <c r="X113" s="4">
        <f>IF(S113=0,"",T113*Pesos!$B$2+U113*Pesos!$B$3+V113*Pesos!$B$4+W113*Pesos!$B$5)</f>
        <v/>
      </c>
    </row>
    <row r="114">
      <c r="A114" s="2" t="n">
        <v>113</v>
      </c>
      <c r="B114" t="n">
        <v>7</v>
      </c>
      <c r="C114" t="n">
        <v>285</v>
      </c>
      <c r="D114" t="n">
        <v>205</v>
      </c>
      <c r="E114" t="n">
        <v>150</v>
      </c>
      <c r="F114" t="n">
        <v>450</v>
      </c>
      <c r="G114" t="n">
        <v>225</v>
      </c>
      <c r="H114" t="n">
        <v>230</v>
      </c>
      <c r="I114" t="n">
        <v>970</v>
      </c>
      <c r="J114" t="n">
        <v>1040</v>
      </c>
      <c r="K114" t="n">
        <v>1025</v>
      </c>
      <c r="L114" t="n">
        <v>1525</v>
      </c>
      <c r="M114" t="n">
        <v>740</v>
      </c>
      <c r="N114" s="6" t="n">
        <v>6840</v>
      </c>
      <c r="O114">
        <f>SUM(C114:H114)</f>
        <v/>
      </c>
      <c r="P114">
        <f>I114</f>
        <v/>
      </c>
      <c r="Q114">
        <f>J114</f>
        <v/>
      </c>
      <c r="R114">
        <f>SUM(K114:M114)</f>
        <v/>
      </c>
      <c r="S114">
        <f>SUM(O114:R114)</f>
        <v/>
      </c>
      <c r="T114" s="3">
        <f>IF(S114=0,"",O114/S114)</f>
        <v/>
      </c>
      <c r="U114" s="3">
        <f>IF(S114=0,"",P114/S114)</f>
        <v/>
      </c>
      <c r="V114" s="3">
        <f>IF(S114=0,"",Q114/S114)</f>
        <v/>
      </c>
      <c r="W114" s="3">
        <f>IF(S114=0,"",R114/S114)</f>
        <v/>
      </c>
      <c r="X114" s="4">
        <f>IF(S114=0,"",T114*Pesos!$B$2+U114*Pesos!$B$3+V114*Pesos!$B$4+W114*Pesos!$B$5)</f>
        <v/>
      </c>
    </row>
    <row r="115">
      <c r="A115" s="2" t="n">
        <v>114</v>
      </c>
      <c r="B115" t="n">
        <v>7</v>
      </c>
      <c r="C115" t="n">
        <v>355</v>
      </c>
      <c r="D115" t="n">
        <v>235</v>
      </c>
      <c r="E115" t="n">
        <v>435</v>
      </c>
      <c r="F115" t="n">
        <v>715</v>
      </c>
      <c r="G115" t="n">
        <v>380</v>
      </c>
      <c r="H115" t="n">
        <v>210</v>
      </c>
      <c r="I115" t="n">
        <v>1255</v>
      </c>
      <c r="J115" t="n">
        <v>755</v>
      </c>
      <c r="K115" t="n">
        <v>1310</v>
      </c>
      <c r="L115" t="n">
        <v>1775</v>
      </c>
      <c r="M115" t="n">
        <v>1030</v>
      </c>
      <c r="N115" s="6" t="n">
        <v>8440</v>
      </c>
      <c r="O115">
        <f>SUM(C115:H115)</f>
        <v/>
      </c>
      <c r="P115">
        <f>I115</f>
        <v/>
      </c>
      <c r="Q115">
        <f>J115</f>
        <v/>
      </c>
      <c r="R115">
        <f>SUM(K115:M115)</f>
        <v/>
      </c>
      <c r="S115">
        <f>SUM(O115:R115)</f>
        <v/>
      </c>
      <c r="T115" s="3">
        <f>IF(S115=0,"",O115/S115)</f>
        <v/>
      </c>
      <c r="U115" s="3">
        <f>IF(S115=0,"",P115/S115)</f>
        <v/>
      </c>
      <c r="V115" s="3">
        <f>IF(S115=0,"",Q115/S115)</f>
        <v/>
      </c>
      <c r="W115" s="3">
        <f>IF(S115=0,"",R115/S115)</f>
        <v/>
      </c>
      <c r="X115" s="4">
        <f>IF(S115=0,"",T115*Pesos!$B$2+U115*Pesos!$B$3+V115*Pesos!$B$4+W115*Pesos!$B$5)</f>
        <v/>
      </c>
    </row>
    <row r="116">
      <c r="A116" s="2" t="n">
        <v>115</v>
      </c>
      <c r="B116" t="n">
        <v>7</v>
      </c>
      <c r="C116" t="n">
        <v>95</v>
      </c>
      <c r="D116" t="n">
        <v>410</v>
      </c>
      <c r="E116" t="n">
        <v>140</v>
      </c>
      <c r="F116" t="n">
        <v>220</v>
      </c>
      <c r="G116" t="n">
        <v>790</v>
      </c>
      <c r="H116" t="n">
        <v>175</v>
      </c>
      <c r="I116" t="n">
        <v>535</v>
      </c>
      <c r="J116" t="n">
        <v>560</v>
      </c>
      <c r="K116" t="n">
        <v>945</v>
      </c>
      <c r="L116" t="n">
        <v>1095</v>
      </c>
      <c r="M116" t="n">
        <v>725</v>
      </c>
      <c r="N116" s="6" t="n">
        <v>5690</v>
      </c>
      <c r="O116">
        <f>SUM(C116:H116)</f>
        <v/>
      </c>
      <c r="P116">
        <f>I116</f>
        <v/>
      </c>
      <c r="Q116">
        <f>J116</f>
        <v/>
      </c>
      <c r="R116">
        <f>SUM(K116:M116)</f>
        <v/>
      </c>
      <c r="S116">
        <f>SUM(O116:R116)</f>
        <v/>
      </c>
      <c r="T116" s="3">
        <f>IF(S116=0,"",O116/S116)</f>
        <v/>
      </c>
      <c r="U116" s="3">
        <f>IF(S116=0,"",P116/S116)</f>
        <v/>
      </c>
      <c r="V116" s="3">
        <f>IF(S116=0,"",Q116/S116)</f>
        <v/>
      </c>
      <c r="W116" s="3">
        <f>IF(S116=0,"",R116/S116)</f>
        <v/>
      </c>
      <c r="X116" s="4">
        <f>IF(S116=0,"",T116*Pesos!$B$2+U116*Pesos!$B$3+V116*Pesos!$B$4+W116*Pesos!$B$5)</f>
        <v/>
      </c>
    </row>
    <row r="117">
      <c r="A117" s="2" t="n">
        <v>116</v>
      </c>
      <c r="B117" t="n">
        <v>7</v>
      </c>
      <c r="C117" t="n">
        <v>235</v>
      </c>
      <c r="D117" t="n">
        <v>285</v>
      </c>
      <c r="E117" t="n">
        <v>620</v>
      </c>
      <c r="F117" t="n">
        <v>145</v>
      </c>
      <c r="G117" t="n">
        <v>190</v>
      </c>
      <c r="H117" t="n">
        <v>235</v>
      </c>
      <c r="I117" t="n">
        <v>1005</v>
      </c>
      <c r="J117" t="n">
        <v>760</v>
      </c>
      <c r="K117" t="n">
        <v>710</v>
      </c>
      <c r="L117" t="n">
        <v>920</v>
      </c>
      <c r="M117" t="n">
        <v>1005</v>
      </c>
      <c r="N117" s="6" t="n">
        <v>6100</v>
      </c>
      <c r="O117">
        <f>SUM(C117:H117)</f>
        <v/>
      </c>
      <c r="P117">
        <f>I117</f>
        <v/>
      </c>
      <c r="Q117">
        <f>J117</f>
        <v/>
      </c>
      <c r="R117">
        <f>SUM(K117:M117)</f>
        <v/>
      </c>
      <c r="S117">
        <f>SUM(O117:R117)</f>
        <v/>
      </c>
      <c r="T117" s="3">
        <f>IF(S117=0,"",O117/S117)</f>
        <v/>
      </c>
      <c r="U117" s="3">
        <f>IF(S117=0,"",P117/S117)</f>
        <v/>
      </c>
      <c r="V117" s="3">
        <f>IF(S117=0,"",Q117/S117)</f>
        <v/>
      </c>
      <c r="W117" s="3">
        <f>IF(S117=0,"",R117/S117)</f>
        <v/>
      </c>
      <c r="X117" s="4">
        <f>IF(S117=0,"",T117*Pesos!$B$2+U117*Pesos!$B$3+V117*Pesos!$B$4+W117*Pesos!$B$5)</f>
        <v/>
      </c>
    </row>
    <row r="118">
      <c r="A118" s="2" t="n">
        <v>117</v>
      </c>
      <c r="B118" t="n">
        <v>12</v>
      </c>
      <c r="C118" t="n">
        <v>575</v>
      </c>
      <c r="D118" t="n">
        <v>630</v>
      </c>
      <c r="E118" t="n">
        <v>685</v>
      </c>
      <c r="F118" t="n">
        <v>835</v>
      </c>
      <c r="G118" t="n">
        <v>635</v>
      </c>
      <c r="H118" t="n">
        <v>595</v>
      </c>
      <c r="I118" t="n">
        <v>2095</v>
      </c>
      <c r="J118" t="n">
        <v>1550</v>
      </c>
      <c r="K118" t="n">
        <v>1330</v>
      </c>
      <c r="L118" t="n">
        <v>2435</v>
      </c>
      <c r="M118" t="n">
        <v>2130</v>
      </c>
      <c r="N118" s="6" t="n">
        <v>13495</v>
      </c>
      <c r="O118">
        <f>SUM(C118:H118)</f>
        <v/>
      </c>
      <c r="P118">
        <f>I118</f>
        <v/>
      </c>
      <c r="Q118">
        <f>J118</f>
        <v/>
      </c>
      <c r="R118">
        <f>SUM(K118:M118)</f>
        <v/>
      </c>
      <c r="S118">
        <f>SUM(O118:R118)</f>
        <v/>
      </c>
      <c r="T118" s="3">
        <f>IF(S118=0,"",O118/S118)</f>
        <v/>
      </c>
      <c r="U118" s="3">
        <f>IF(S118=0,"",P118/S118)</f>
        <v/>
      </c>
      <c r="V118" s="3">
        <f>IF(S118=0,"",Q118/S118)</f>
        <v/>
      </c>
      <c r="W118" s="3">
        <f>IF(S118=0,"",R118/S118)</f>
        <v/>
      </c>
      <c r="X118" s="4">
        <f>IF(S118=0,"",T118*Pesos!$B$2+U118*Pesos!$B$3+V118*Pesos!$B$4+W118*Pesos!$B$5)</f>
        <v/>
      </c>
    </row>
    <row r="119">
      <c r="A119" s="2" t="n">
        <v>118</v>
      </c>
      <c r="B119" t="n">
        <v>8</v>
      </c>
      <c r="C119" t="n">
        <v>310</v>
      </c>
      <c r="D119" t="n">
        <v>650</v>
      </c>
      <c r="E119" t="n">
        <v>285</v>
      </c>
      <c r="F119" t="n">
        <v>455</v>
      </c>
      <c r="G119" t="n">
        <v>285</v>
      </c>
      <c r="H119" t="n">
        <v>205</v>
      </c>
      <c r="I119" t="n">
        <v>900</v>
      </c>
      <c r="J119" t="n">
        <v>1420</v>
      </c>
      <c r="K119" t="n">
        <v>1730</v>
      </c>
      <c r="L119" t="n">
        <v>3495</v>
      </c>
      <c r="M119" t="n">
        <v>160</v>
      </c>
      <c r="N119" s="6" t="n">
        <v>9895</v>
      </c>
      <c r="O119">
        <f>SUM(C119:H119)</f>
        <v/>
      </c>
      <c r="P119">
        <f>I119</f>
        <v/>
      </c>
      <c r="Q119">
        <f>J119</f>
        <v/>
      </c>
      <c r="R119">
        <f>SUM(K119:M119)</f>
        <v/>
      </c>
      <c r="S119">
        <f>SUM(O119:R119)</f>
        <v/>
      </c>
      <c r="T119" s="3">
        <f>IF(S119=0,"",O119/S119)</f>
        <v/>
      </c>
      <c r="U119" s="3">
        <f>IF(S119=0,"",P119/S119)</f>
        <v/>
      </c>
      <c r="V119" s="3">
        <f>IF(S119=0,"",Q119/S119)</f>
        <v/>
      </c>
      <c r="W119" s="3">
        <f>IF(S119=0,"",R119/S119)</f>
        <v/>
      </c>
      <c r="X119" s="4">
        <f>IF(S119=0,"",T119*Pesos!$B$2+U119*Pesos!$B$3+V119*Pesos!$B$4+W119*Pesos!$B$5)</f>
        <v/>
      </c>
    </row>
    <row r="120">
      <c r="A120" s="2" t="n">
        <v>119</v>
      </c>
      <c r="B120" t="n">
        <v>9</v>
      </c>
      <c r="C120" t="n">
        <v>895</v>
      </c>
      <c r="D120" t="n">
        <v>705</v>
      </c>
      <c r="E120" t="n">
        <v>465</v>
      </c>
      <c r="F120" t="n">
        <v>305</v>
      </c>
      <c r="G120" t="n">
        <v>265</v>
      </c>
      <c r="H120" t="n">
        <v>260</v>
      </c>
      <c r="I120" t="n">
        <v>880</v>
      </c>
      <c r="J120" t="n">
        <v>1590</v>
      </c>
      <c r="K120" t="n">
        <v>1795</v>
      </c>
      <c r="L120" t="n">
        <v>4105</v>
      </c>
      <c r="M120" t="n">
        <v>70</v>
      </c>
      <c r="N120" s="6" t="n">
        <v>11330</v>
      </c>
      <c r="O120">
        <f>SUM(C120:H120)</f>
        <v/>
      </c>
      <c r="P120">
        <f>I120</f>
        <v/>
      </c>
      <c r="Q120">
        <f>J120</f>
        <v/>
      </c>
      <c r="R120">
        <f>SUM(K120:M120)</f>
        <v/>
      </c>
      <c r="S120">
        <f>SUM(O120:R120)</f>
        <v/>
      </c>
      <c r="T120" s="3">
        <f>IF(S120=0,"",O120/S120)</f>
        <v/>
      </c>
      <c r="U120" s="3">
        <f>IF(S120=0,"",P120/S120)</f>
        <v/>
      </c>
      <c r="V120" s="3">
        <f>IF(S120=0,"",Q120/S120)</f>
        <v/>
      </c>
      <c r="W120" s="3">
        <f>IF(S120=0,"",R120/S120)</f>
        <v/>
      </c>
      <c r="X120" s="4">
        <f>IF(S120=0,"",T120*Pesos!$B$2+U120*Pesos!$B$3+V120*Pesos!$B$4+W120*Pesos!$B$5)</f>
        <v/>
      </c>
    </row>
    <row r="121">
      <c r="A121" s="2" t="n">
        <v>120</v>
      </c>
      <c r="B121" t="n">
        <v>8</v>
      </c>
      <c r="C121" t="n">
        <v>610</v>
      </c>
      <c r="D121" t="n">
        <v>595</v>
      </c>
      <c r="E121" t="n">
        <v>675</v>
      </c>
      <c r="F121" t="n">
        <v>255</v>
      </c>
      <c r="G121" t="n">
        <v>265</v>
      </c>
      <c r="H121" t="n">
        <v>185</v>
      </c>
      <c r="I121" t="n">
        <v>1145</v>
      </c>
      <c r="J121" t="n">
        <v>1515</v>
      </c>
      <c r="K121" t="n">
        <v>1885</v>
      </c>
      <c r="L121" t="n">
        <v>3245</v>
      </c>
      <c r="M121" t="n">
        <v>115</v>
      </c>
      <c r="N121" s="6" t="n">
        <v>10490</v>
      </c>
      <c r="O121">
        <f>SUM(C121:H121)</f>
        <v/>
      </c>
      <c r="P121">
        <f>I121</f>
        <v/>
      </c>
      <c r="Q121">
        <f>J121</f>
        <v/>
      </c>
      <c r="R121">
        <f>SUM(K121:M121)</f>
        <v/>
      </c>
      <c r="S121">
        <f>SUM(O121:R121)</f>
        <v/>
      </c>
      <c r="T121" s="3">
        <f>IF(S121=0,"",O121/S121)</f>
        <v/>
      </c>
      <c r="U121" s="3">
        <f>IF(S121=0,"",P121/S121)</f>
        <v/>
      </c>
      <c r="V121" s="3">
        <f>IF(S121=0,"",Q121/S121)</f>
        <v/>
      </c>
      <c r="W121" s="3">
        <f>IF(S121=0,"",R121/S121)</f>
        <v/>
      </c>
      <c r="X121" s="4">
        <f>IF(S121=0,"",T121*Pesos!$B$2+U121*Pesos!$B$3+V121*Pesos!$B$4+W121*Pesos!$B$5)</f>
        <v/>
      </c>
    </row>
    <row r="122">
      <c r="A122" s="2" t="n">
        <v>121</v>
      </c>
      <c r="B122" t="n">
        <v>8</v>
      </c>
      <c r="C122" t="n">
        <v>340</v>
      </c>
      <c r="D122" t="n">
        <v>360</v>
      </c>
      <c r="E122" t="n">
        <v>500</v>
      </c>
      <c r="F122" t="n">
        <v>405</v>
      </c>
      <c r="G122" t="n">
        <v>260</v>
      </c>
      <c r="H122" t="n">
        <v>320</v>
      </c>
      <c r="I122" t="n">
        <v>1090</v>
      </c>
      <c r="J122" t="n">
        <v>1535</v>
      </c>
      <c r="K122" t="n">
        <v>1240</v>
      </c>
      <c r="L122" t="n">
        <v>3595</v>
      </c>
      <c r="M122" t="n">
        <v>85</v>
      </c>
      <c r="N122" s="6" t="n">
        <v>9730</v>
      </c>
      <c r="O122">
        <f>SUM(C122:H122)</f>
        <v/>
      </c>
      <c r="P122">
        <f>I122</f>
        <v/>
      </c>
      <c r="Q122">
        <f>J122</f>
        <v/>
      </c>
      <c r="R122">
        <f>SUM(K122:M122)</f>
        <v/>
      </c>
      <c r="S122">
        <f>SUM(O122:R122)</f>
        <v/>
      </c>
      <c r="T122" s="3">
        <f>IF(S122=0,"",O122/S122)</f>
        <v/>
      </c>
      <c r="U122" s="3">
        <f>IF(S122=0,"",P122/S122)</f>
        <v/>
      </c>
      <c r="V122" s="3">
        <f>IF(S122=0,"",Q122/S122)</f>
        <v/>
      </c>
      <c r="W122" s="3">
        <f>IF(S122=0,"",R122/S122)</f>
        <v/>
      </c>
      <c r="X122" s="4">
        <f>IF(S122=0,"",T122*Pesos!$B$2+U122*Pesos!$B$3+V122*Pesos!$B$4+W122*Pesos!$B$5)</f>
        <v/>
      </c>
    </row>
    <row r="123">
      <c r="A123" s="2" t="n">
        <v>122</v>
      </c>
      <c r="B123" t="n">
        <v>8</v>
      </c>
      <c r="C123" t="n">
        <v>80</v>
      </c>
      <c r="D123" t="n">
        <v>190</v>
      </c>
      <c r="E123" t="n">
        <v>210</v>
      </c>
      <c r="F123" t="n">
        <v>175</v>
      </c>
      <c r="G123" t="n">
        <v>120</v>
      </c>
      <c r="H123" t="n">
        <v>225</v>
      </c>
      <c r="I123" t="n">
        <v>765</v>
      </c>
      <c r="J123" t="n">
        <v>985</v>
      </c>
      <c r="K123" t="n">
        <v>1210</v>
      </c>
      <c r="L123" t="n">
        <v>3835</v>
      </c>
      <c r="M123" t="n">
        <v>145</v>
      </c>
      <c r="N123" s="6" t="n">
        <v>7935</v>
      </c>
      <c r="O123">
        <f>SUM(C123:H123)</f>
        <v/>
      </c>
      <c r="P123">
        <f>I123</f>
        <v/>
      </c>
      <c r="Q123">
        <f>J123</f>
        <v/>
      </c>
      <c r="R123">
        <f>SUM(K123:M123)</f>
        <v/>
      </c>
      <c r="S123">
        <f>SUM(O123:R123)</f>
        <v/>
      </c>
      <c r="T123" s="3">
        <f>IF(S123=0,"",O123/S123)</f>
        <v/>
      </c>
      <c r="U123" s="3">
        <f>IF(S123=0,"",P123/S123)</f>
        <v/>
      </c>
      <c r="V123" s="3">
        <f>IF(S123=0,"",Q123/S123)</f>
        <v/>
      </c>
      <c r="W123" s="3">
        <f>IF(S123=0,"",R123/S123)</f>
        <v/>
      </c>
      <c r="X123" s="4">
        <f>IF(S123=0,"",T123*Pesos!$B$2+U123*Pesos!$B$3+V123*Pesos!$B$4+W123*Pesos!$B$5)</f>
        <v/>
      </c>
    </row>
    <row r="124">
      <c r="A124" s="2" t="n">
        <v>123</v>
      </c>
      <c r="B124" t="n">
        <v>9</v>
      </c>
      <c r="C124" t="n">
        <v>180</v>
      </c>
      <c r="D124" t="n">
        <v>270</v>
      </c>
      <c r="E124" t="n">
        <v>210</v>
      </c>
      <c r="F124" t="n">
        <v>315</v>
      </c>
      <c r="G124" t="n">
        <v>335</v>
      </c>
      <c r="H124" t="n">
        <v>405</v>
      </c>
      <c r="I124" t="n">
        <v>1350</v>
      </c>
      <c r="J124" t="n">
        <v>4005</v>
      </c>
      <c r="K124" t="n">
        <v>5265</v>
      </c>
      <c r="L124" t="n">
        <v>310</v>
      </c>
      <c r="M124" s="7" t="n">
        <v>25</v>
      </c>
      <c r="N124" s="6" t="n">
        <v>12675</v>
      </c>
      <c r="O124">
        <f>SUM(C124:H124)</f>
        <v/>
      </c>
      <c r="P124">
        <f>I124</f>
        <v/>
      </c>
      <c r="Q124">
        <f>J124</f>
        <v/>
      </c>
      <c r="R124">
        <f>SUM(K124:M124)</f>
        <v/>
      </c>
      <c r="S124">
        <f>SUM(O124:R124)</f>
        <v/>
      </c>
      <c r="T124" s="3">
        <f>IF(S124=0,"",O124/S124)</f>
        <v/>
      </c>
      <c r="U124" s="3">
        <f>IF(S124=0,"",P124/S124)</f>
        <v/>
      </c>
      <c r="V124" s="3">
        <f>IF(S124=0,"",Q124/S124)</f>
        <v/>
      </c>
      <c r="W124" s="3">
        <f>IF(S124=0,"",R124/S124)</f>
        <v/>
      </c>
      <c r="X124" s="4">
        <f>IF(S124=0,"",T124*Pesos!$B$2+U124*Pesos!$B$3+V124*Pesos!$B$4+W124*Pesos!$B$5)</f>
        <v/>
      </c>
    </row>
    <row r="125">
      <c r="A125" s="2" t="n">
        <v>124</v>
      </c>
      <c r="B125" t="n">
        <v>30</v>
      </c>
      <c r="C125" t="n">
        <v>2635</v>
      </c>
      <c r="D125" t="n">
        <v>3235</v>
      </c>
      <c r="E125" t="n">
        <v>4940</v>
      </c>
      <c r="F125" t="n">
        <v>4050</v>
      </c>
      <c r="G125" t="n">
        <v>2530</v>
      </c>
      <c r="H125" t="n">
        <v>3955</v>
      </c>
      <c r="I125" t="n">
        <v>13110</v>
      </c>
      <c r="J125" t="n">
        <v>15320</v>
      </c>
      <c r="K125" t="n">
        <v>2400</v>
      </c>
      <c r="L125" t="n">
        <v>1495</v>
      </c>
      <c r="M125" t="n">
        <v>1540</v>
      </c>
      <c r="N125" s="6" t="n">
        <v>55210</v>
      </c>
      <c r="O125">
        <f>SUM(C125:H125)</f>
        <v/>
      </c>
      <c r="P125">
        <f>I125</f>
        <v/>
      </c>
      <c r="Q125">
        <f>J125</f>
        <v/>
      </c>
      <c r="R125">
        <f>SUM(K125:M125)</f>
        <v/>
      </c>
      <c r="S125">
        <f>SUM(O125:R125)</f>
        <v/>
      </c>
      <c r="T125" s="3">
        <f>IF(S125=0,"",O125/S125)</f>
        <v/>
      </c>
      <c r="U125" s="3">
        <f>IF(S125=0,"",P125/S125)</f>
        <v/>
      </c>
      <c r="V125" s="3">
        <f>IF(S125=0,"",Q125/S125)</f>
        <v/>
      </c>
      <c r="W125" s="3">
        <f>IF(S125=0,"",R125/S125)</f>
        <v/>
      </c>
      <c r="X125" s="4">
        <f>IF(S125=0,"",T125*Pesos!$B$2+U125*Pesos!$B$3+V125*Pesos!$B$4+W125*Pesos!$B$5)</f>
        <v/>
      </c>
    </row>
    <row r="126">
      <c r="A126" s="2" t="n">
        <v>125</v>
      </c>
      <c r="B126" t="n">
        <v>8</v>
      </c>
      <c r="C126" t="n">
        <v>755</v>
      </c>
      <c r="D126" t="n">
        <v>990</v>
      </c>
      <c r="E126" t="n">
        <v>545</v>
      </c>
      <c r="F126" t="n">
        <v>615</v>
      </c>
      <c r="G126" t="n">
        <v>570</v>
      </c>
      <c r="H126" t="n">
        <v>570</v>
      </c>
      <c r="I126" t="n">
        <v>1595</v>
      </c>
      <c r="J126" t="n">
        <v>1570</v>
      </c>
      <c r="K126" t="n">
        <v>1180</v>
      </c>
      <c r="L126" t="n">
        <v>845</v>
      </c>
      <c r="M126" t="n">
        <v>885</v>
      </c>
      <c r="N126" s="6" t="n">
        <v>10120</v>
      </c>
      <c r="O126">
        <f>SUM(C126:H126)</f>
        <v/>
      </c>
      <c r="P126">
        <f>I126</f>
        <v/>
      </c>
      <c r="Q126">
        <f>J126</f>
        <v/>
      </c>
      <c r="R126">
        <f>SUM(K126:M126)</f>
        <v/>
      </c>
      <c r="S126">
        <f>SUM(O126:R126)</f>
        <v/>
      </c>
      <c r="T126" s="3">
        <f>IF(S126=0,"",O126/S126)</f>
        <v/>
      </c>
      <c r="U126" s="3">
        <f>IF(S126=0,"",P126/S126)</f>
        <v/>
      </c>
      <c r="V126" s="3">
        <f>IF(S126=0,"",Q126/S126)</f>
        <v/>
      </c>
      <c r="W126" s="3">
        <f>IF(S126=0,"",R126/S126)</f>
        <v/>
      </c>
      <c r="X126" s="4">
        <f>IF(S126=0,"",T126*Pesos!$B$2+U126*Pesos!$B$3+V126*Pesos!$B$4+W126*Pesos!$B$5)</f>
        <v/>
      </c>
    </row>
    <row r="127">
      <c r="A127" s="2" t="n">
        <v>126</v>
      </c>
      <c r="B127" t="n">
        <v>10</v>
      </c>
      <c r="C127" t="n">
        <v>1270</v>
      </c>
      <c r="D127" t="n">
        <v>1375</v>
      </c>
      <c r="E127" t="n">
        <v>1035</v>
      </c>
      <c r="F127" t="n">
        <v>775</v>
      </c>
      <c r="G127" t="n">
        <v>750</v>
      </c>
      <c r="H127" t="n">
        <v>430</v>
      </c>
      <c r="I127" t="n">
        <v>2370</v>
      </c>
      <c r="J127" t="n">
        <v>2700</v>
      </c>
      <c r="K127" t="n">
        <v>1555</v>
      </c>
      <c r="L127" t="n">
        <v>1030</v>
      </c>
      <c r="M127" t="n">
        <v>1285</v>
      </c>
      <c r="N127" s="6" t="n">
        <v>14580</v>
      </c>
      <c r="O127">
        <f>SUM(C127:H127)</f>
        <v/>
      </c>
      <c r="P127">
        <f>I127</f>
        <v/>
      </c>
      <c r="Q127">
        <f>J127</f>
        <v/>
      </c>
      <c r="R127">
        <f>SUM(K127:M127)</f>
        <v/>
      </c>
      <c r="S127">
        <f>SUM(O127:R127)</f>
        <v/>
      </c>
      <c r="T127" s="3">
        <f>IF(S127=0,"",O127/S127)</f>
        <v/>
      </c>
      <c r="U127" s="3">
        <f>IF(S127=0,"",P127/S127)</f>
        <v/>
      </c>
      <c r="V127" s="3">
        <f>IF(S127=0,"",Q127/S127)</f>
        <v/>
      </c>
      <c r="W127" s="3">
        <f>IF(S127=0,"",R127/S127)</f>
        <v/>
      </c>
      <c r="X127" s="4">
        <f>IF(S127=0,"",T127*Pesos!$B$2+U127*Pesos!$B$3+V127*Pesos!$B$4+W127*Pesos!$B$5)</f>
        <v/>
      </c>
    </row>
    <row r="128">
      <c r="A128" s="2" t="n">
        <v>127</v>
      </c>
      <c r="B128" t="n">
        <v>8</v>
      </c>
      <c r="C128" t="n">
        <v>925</v>
      </c>
      <c r="D128" t="n">
        <v>1035</v>
      </c>
      <c r="E128" t="n">
        <v>775</v>
      </c>
      <c r="F128" t="n">
        <v>385</v>
      </c>
      <c r="G128" t="n">
        <v>330</v>
      </c>
      <c r="H128" t="n">
        <v>690</v>
      </c>
      <c r="I128" t="n">
        <v>1555</v>
      </c>
      <c r="J128" t="n">
        <v>1530</v>
      </c>
      <c r="K128" t="n">
        <v>865</v>
      </c>
      <c r="L128" t="n">
        <v>510</v>
      </c>
      <c r="M128" t="n">
        <v>1110</v>
      </c>
      <c r="N128" s="6" t="n">
        <v>9710</v>
      </c>
      <c r="O128">
        <f>SUM(C128:H128)</f>
        <v/>
      </c>
      <c r="P128">
        <f>I128</f>
        <v/>
      </c>
      <c r="Q128">
        <f>J128</f>
        <v/>
      </c>
      <c r="R128">
        <f>SUM(K128:M128)</f>
        <v/>
      </c>
      <c r="S128">
        <f>SUM(O128:R128)</f>
        <v/>
      </c>
      <c r="T128" s="3">
        <f>IF(S128=0,"",O128/S128)</f>
        <v/>
      </c>
      <c r="U128" s="3">
        <f>IF(S128=0,"",P128/S128)</f>
        <v/>
      </c>
      <c r="V128" s="3">
        <f>IF(S128=0,"",Q128/S128)</f>
        <v/>
      </c>
      <c r="W128" s="3">
        <f>IF(S128=0,"",R128/S128)</f>
        <v/>
      </c>
      <c r="X128" s="4">
        <f>IF(S128=0,"",T128*Pesos!$B$2+U128*Pesos!$B$3+V128*Pesos!$B$4+W128*Pesos!$B$5)</f>
        <v/>
      </c>
    </row>
    <row r="129">
      <c r="A129" s="2" t="n">
        <v>128</v>
      </c>
      <c r="B129" t="n">
        <v>7</v>
      </c>
      <c r="C129" t="n">
        <v>890</v>
      </c>
      <c r="D129" t="n">
        <v>710</v>
      </c>
      <c r="E129" t="n">
        <v>430</v>
      </c>
      <c r="F129" t="n">
        <v>480</v>
      </c>
      <c r="G129" t="n">
        <v>530</v>
      </c>
      <c r="H129" t="n">
        <v>530</v>
      </c>
      <c r="I129" t="n">
        <v>1035</v>
      </c>
      <c r="J129" t="n">
        <v>1300</v>
      </c>
      <c r="K129" t="n">
        <v>330</v>
      </c>
      <c r="L129" t="n">
        <v>335</v>
      </c>
      <c r="M129" t="n">
        <v>995</v>
      </c>
      <c r="N129" s="6" t="n">
        <v>7555</v>
      </c>
      <c r="O129">
        <f>SUM(C129:H129)</f>
        <v/>
      </c>
      <c r="P129">
        <f>I129</f>
        <v/>
      </c>
      <c r="Q129">
        <f>J129</f>
        <v/>
      </c>
      <c r="R129">
        <f>SUM(K129:M129)</f>
        <v/>
      </c>
      <c r="S129">
        <f>SUM(O129:R129)</f>
        <v/>
      </c>
      <c r="T129" s="3">
        <f>IF(S129=0,"",O129/S129)</f>
        <v/>
      </c>
      <c r="U129" s="3">
        <f>IF(S129=0,"",P129/S129)</f>
        <v/>
      </c>
      <c r="V129" s="3">
        <f>IF(S129=0,"",Q129/S129)</f>
        <v/>
      </c>
      <c r="W129" s="3">
        <f>IF(S129=0,"",R129/S129)</f>
        <v/>
      </c>
      <c r="X129" s="4">
        <f>IF(S129=0,"",T129*Pesos!$B$2+U129*Pesos!$B$3+V129*Pesos!$B$4+W129*Pesos!$B$5)</f>
        <v/>
      </c>
    </row>
    <row r="130">
      <c r="A130" s="2" t="n">
        <v>129</v>
      </c>
      <c r="B130" t="n">
        <v>10</v>
      </c>
      <c r="C130" t="n">
        <v>1810</v>
      </c>
      <c r="D130" t="n">
        <v>1205</v>
      </c>
      <c r="E130" t="n">
        <v>1255</v>
      </c>
      <c r="F130" t="n">
        <v>750</v>
      </c>
      <c r="G130" t="n">
        <v>845</v>
      </c>
      <c r="H130" t="n">
        <v>885</v>
      </c>
      <c r="I130" t="n">
        <v>2120</v>
      </c>
      <c r="J130" t="n">
        <v>1800</v>
      </c>
      <c r="K130" t="n">
        <v>835</v>
      </c>
      <c r="L130" t="n">
        <v>705</v>
      </c>
      <c r="M130" t="n">
        <v>800</v>
      </c>
      <c r="N130" s="6" t="n">
        <v>13015</v>
      </c>
      <c r="O130">
        <f>SUM(C130:H130)</f>
        <v/>
      </c>
      <c r="P130">
        <f>I130</f>
        <v/>
      </c>
      <c r="Q130">
        <f>J130</f>
        <v/>
      </c>
      <c r="R130">
        <f>SUM(K130:M130)</f>
        <v/>
      </c>
      <c r="S130">
        <f>SUM(O130:R130)</f>
        <v/>
      </c>
      <c r="T130" s="3">
        <f>IF(S130=0,"",O130/S130)</f>
        <v/>
      </c>
      <c r="U130" s="3">
        <f>IF(S130=0,"",P130/S130)</f>
        <v/>
      </c>
      <c r="V130" s="3">
        <f>IF(S130=0,"",Q130/S130)</f>
        <v/>
      </c>
      <c r="W130" s="3">
        <f>IF(S130=0,"",R130/S130)</f>
        <v/>
      </c>
      <c r="X130" s="4">
        <f>IF(S130=0,"",T130*Pesos!$B$2+U130*Pesos!$B$3+V130*Pesos!$B$4+W130*Pesos!$B$5)</f>
        <v/>
      </c>
    </row>
    <row r="131">
      <c r="A131" s="2" t="n">
        <v>130</v>
      </c>
      <c r="B131" t="n">
        <v>11</v>
      </c>
      <c r="C131" t="n">
        <v>1075</v>
      </c>
      <c r="D131" t="n">
        <v>1320</v>
      </c>
      <c r="E131" t="n">
        <v>1070</v>
      </c>
      <c r="F131" t="n">
        <v>975</v>
      </c>
      <c r="G131" t="n">
        <v>480</v>
      </c>
      <c r="H131" t="n">
        <v>545</v>
      </c>
      <c r="I131" t="n">
        <v>1910</v>
      </c>
      <c r="J131" t="n">
        <v>1795</v>
      </c>
      <c r="K131" t="n">
        <v>975</v>
      </c>
      <c r="L131" t="n">
        <v>985</v>
      </c>
      <c r="M131" t="n">
        <v>1460</v>
      </c>
      <c r="N131" s="6" t="n">
        <v>12595</v>
      </c>
      <c r="O131">
        <f>SUM(C131:H131)</f>
        <v/>
      </c>
      <c r="P131">
        <f>I131</f>
        <v/>
      </c>
      <c r="Q131">
        <f>J131</f>
        <v/>
      </c>
      <c r="R131">
        <f>SUM(K131:M131)</f>
        <v/>
      </c>
      <c r="S131">
        <f>SUM(O131:R131)</f>
        <v/>
      </c>
      <c r="T131" s="3">
        <f>IF(S131=0,"",O131/S131)</f>
        <v/>
      </c>
      <c r="U131" s="3">
        <f>IF(S131=0,"",P131/S131)</f>
        <v/>
      </c>
      <c r="V131" s="3">
        <f>IF(S131=0,"",Q131/S131)</f>
        <v/>
      </c>
      <c r="W131" s="3">
        <f>IF(S131=0,"",R131/S131)</f>
        <v/>
      </c>
      <c r="X131" s="4">
        <f>IF(S131=0,"",T131*Pesos!$B$2+U131*Pesos!$B$3+V131*Pesos!$B$4+W131*Pesos!$B$5)</f>
        <v/>
      </c>
    </row>
    <row r="132">
      <c r="A132" s="2" t="n">
        <v>131</v>
      </c>
      <c r="B132" t="n">
        <v>7</v>
      </c>
      <c r="C132" t="n">
        <v>800</v>
      </c>
      <c r="D132" t="n">
        <v>845</v>
      </c>
      <c r="E132" t="n">
        <v>615</v>
      </c>
      <c r="F132" t="n">
        <v>645</v>
      </c>
      <c r="G132" t="n">
        <v>355</v>
      </c>
      <c r="H132" t="n">
        <v>225</v>
      </c>
      <c r="I132" t="n">
        <v>1130</v>
      </c>
      <c r="J132" t="n">
        <v>1270</v>
      </c>
      <c r="K132" t="n">
        <v>605</v>
      </c>
      <c r="L132" t="n">
        <v>330</v>
      </c>
      <c r="M132" t="n">
        <v>550</v>
      </c>
      <c r="N132" s="6" t="n">
        <v>7365</v>
      </c>
      <c r="O132">
        <f>SUM(C132:H132)</f>
        <v/>
      </c>
      <c r="P132">
        <f>I132</f>
        <v/>
      </c>
      <c r="Q132">
        <f>J132</f>
        <v/>
      </c>
      <c r="R132">
        <f>SUM(K132:M132)</f>
        <v/>
      </c>
      <c r="S132">
        <f>SUM(O132:R132)</f>
        <v/>
      </c>
      <c r="T132" s="3">
        <f>IF(S132=0,"",O132/S132)</f>
        <v/>
      </c>
      <c r="U132" s="3">
        <f>IF(S132=0,"",P132/S132)</f>
        <v/>
      </c>
      <c r="V132" s="3">
        <f>IF(S132=0,"",Q132/S132)</f>
        <v/>
      </c>
      <c r="W132" s="3">
        <f>IF(S132=0,"",R132/S132)</f>
        <v/>
      </c>
      <c r="X132" s="4">
        <f>IF(S132=0,"",T132*Pesos!$B$2+U132*Pesos!$B$3+V132*Pesos!$B$4+W132*Pesos!$B$5)</f>
        <v/>
      </c>
    </row>
    <row r="133">
      <c r="A133" s="2" t="n">
        <v>132</v>
      </c>
      <c r="B133" t="n">
        <v>12</v>
      </c>
      <c r="C133" t="n">
        <v>830</v>
      </c>
      <c r="D133" t="n">
        <v>910</v>
      </c>
      <c r="E133" t="n">
        <v>895</v>
      </c>
      <c r="F133" t="n">
        <v>770</v>
      </c>
      <c r="G133" t="n">
        <v>510</v>
      </c>
      <c r="H133" t="n">
        <v>475</v>
      </c>
      <c r="I133" t="n">
        <v>2540</v>
      </c>
      <c r="J133" t="n">
        <v>4920</v>
      </c>
      <c r="K133" t="n">
        <v>2445</v>
      </c>
      <c r="L133" t="n">
        <v>1770</v>
      </c>
      <c r="M133" t="n">
        <v>1885</v>
      </c>
      <c r="N133" s="6" t="n">
        <v>17950</v>
      </c>
      <c r="O133">
        <f>SUM(C133:H133)</f>
        <v/>
      </c>
      <c r="P133">
        <f>I133</f>
        <v/>
      </c>
      <c r="Q133">
        <f>J133</f>
        <v/>
      </c>
      <c r="R133">
        <f>SUM(K133:M133)</f>
        <v/>
      </c>
      <c r="S133">
        <f>SUM(O133:R133)</f>
        <v/>
      </c>
      <c r="T133" s="3">
        <f>IF(S133=0,"",O133/S133)</f>
        <v/>
      </c>
      <c r="U133" s="3">
        <f>IF(S133=0,"",P133/S133)</f>
        <v/>
      </c>
      <c r="V133" s="3">
        <f>IF(S133=0,"",Q133/S133)</f>
        <v/>
      </c>
      <c r="W133" s="3">
        <f>IF(S133=0,"",R133/S133)</f>
        <v/>
      </c>
      <c r="X133" s="4">
        <f>IF(S133=0,"",T133*Pesos!$B$2+U133*Pesos!$B$3+V133*Pesos!$B$4+W133*Pesos!$B$5)</f>
        <v/>
      </c>
    </row>
    <row r="134">
      <c r="A134" s="2" t="n">
        <v>133</v>
      </c>
      <c r="B134" t="n">
        <v>8</v>
      </c>
      <c r="C134" t="n">
        <v>615</v>
      </c>
      <c r="D134" t="n">
        <v>645</v>
      </c>
      <c r="E134" t="n">
        <v>900</v>
      </c>
      <c r="F134" t="n">
        <v>605</v>
      </c>
      <c r="G134" t="n">
        <v>670</v>
      </c>
      <c r="H134" t="n">
        <v>500</v>
      </c>
      <c r="I134" t="n">
        <v>2465</v>
      </c>
      <c r="J134" t="n">
        <v>5060</v>
      </c>
      <c r="K134" t="n">
        <v>1585</v>
      </c>
      <c r="L134" t="n">
        <v>1035</v>
      </c>
      <c r="M134" t="n">
        <v>715</v>
      </c>
      <c r="N134" s="6" t="n">
        <v>14785</v>
      </c>
      <c r="O134">
        <f>SUM(C134:H134)</f>
        <v/>
      </c>
      <c r="P134">
        <f>I134</f>
        <v/>
      </c>
      <c r="Q134">
        <f>J134</f>
        <v/>
      </c>
      <c r="R134">
        <f>SUM(K134:M134)</f>
        <v/>
      </c>
      <c r="S134">
        <f>SUM(O134:R134)</f>
        <v/>
      </c>
      <c r="T134" s="3">
        <f>IF(S134=0,"",O134/S134)</f>
        <v/>
      </c>
      <c r="U134" s="3">
        <f>IF(S134=0,"",P134/S134)</f>
        <v/>
      </c>
      <c r="V134" s="3">
        <f>IF(S134=0,"",Q134/S134)</f>
        <v/>
      </c>
      <c r="W134" s="3">
        <f>IF(S134=0,"",R134/S134)</f>
        <v/>
      </c>
      <c r="X134" s="4">
        <f>IF(S134=0,"",T134*Pesos!$B$2+U134*Pesos!$B$3+V134*Pesos!$B$4+W134*Pesos!$B$5)</f>
        <v/>
      </c>
    </row>
    <row r="135">
      <c r="A135" s="2" t="n">
        <v>134</v>
      </c>
      <c r="B135" t="n">
        <v>10</v>
      </c>
      <c r="C135" t="n">
        <v>995</v>
      </c>
      <c r="D135" t="n">
        <v>725</v>
      </c>
      <c r="E135" t="n">
        <v>665</v>
      </c>
      <c r="F135" t="n">
        <v>345</v>
      </c>
      <c r="G135" t="n">
        <v>285</v>
      </c>
      <c r="H135" t="n">
        <v>290</v>
      </c>
      <c r="I135" t="n">
        <v>2095</v>
      </c>
      <c r="J135" t="n">
        <v>3205</v>
      </c>
      <c r="K135" t="n">
        <v>1855</v>
      </c>
      <c r="L135" t="n">
        <v>1115</v>
      </c>
      <c r="M135" t="n">
        <v>1430</v>
      </c>
      <c r="N135" s="6" t="n">
        <v>13005</v>
      </c>
      <c r="O135">
        <f>SUM(C135:H135)</f>
        <v/>
      </c>
      <c r="P135">
        <f>I135</f>
        <v/>
      </c>
      <c r="Q135">
        <f>J135</f>
        <v/>
      </c>
      <c r="R135">
        <f>SUM(K135:M135)</f>
        <v/>
      </c>
      <c r="S135">
        <f>SUM(O135:R135)</f>
        <v/>
      </c>
      <c r="T135" s="3">
        <f>IF(S135=0,"",O135/S135)</f>
        <v/>
      </c>
      <c r="U135" s="3">
        <f>IF(S135=0,"",P135/S135)</f>
        <v/>
      </c>
      <c r="V135" s="3">
        <f>IF(S135=0,"",Q135/S135)</f>
        <v/>
      </c>
      <c r="W135" s="3">
        <f>IF(S135=0,"",R135/S135)</f>
        <v/>
      </c>
      <c r="X135" s="4">
        <f>IF(S135=0,"",T135*Pesos!$B$2+U135*Pesos!$B$3+V135*Pesos!$B$4+W135*Pesos!$B$5)</f>
        <v/>
      </c>
    </row>
    <row r="136">
      <c r="A136" s="2" t="n">
        <v>135</v>
      </c>
      <c r="B136" t="n">
        <v>8</v>
      </c>
      <c r="C136" t="n">
        <v>275</v>
      </c>
      <c r="D136" t="n">
        <v>540</v>
      </c>
      <c r="E136" t="n">
        <v>415</v>
      </c>
      <c r="F136" t="n">
        <v>300</v>
      </c>
      <c r="G136" t="n">
        <v>245</v>
      </c>
      <c r="H136" t="n">
        <v>365</v>
      </c>
      <c r="I136" t="n">
        <v>1085</v>
      </c>
      <c r="J136" t="n">
        <v>1590</v>
      </c>
      <c r="K136" t="n">
        <v>1445</v>
      </c>
      <c r="L136" t="n">
        <v>965</v>
      </c>
      <c r="M136" t="n">
        <v>565</v>
      </c>
      <c r="N136" s="6" t="n">
        <v>7790</v>
      </c>
      <c r="O136">
        <f>SUM(C136:H136)</f>
        <v/>
      </c>
      <c r="P136">
        <f>I136</f>
        <v/>
      </c>
      <c r="Q136">
        <f>J136</f>
        <v/>
      </c>
      <c r="R136">
        <f>SUM(K136:M136)</f>
        <v/>
      </c>
      <c r="S136">
        <f>SUM(O136:R136)</f>
        <v/>
      </c>
      <c r="T136" s="3">
        <f>IF(S136=0,"",O136/S136)</f>
        <v/>
      </c>
      <c r="U136" s="3">
        <f>IF(S136=0,"",P136/S136)</f>
        <v/>
      </c>
      <c r="V136" s="3">
        <f>IF(S136=0,"",Q136/S136)</f>
        <v/>
      </c>
      <c r="W136" s="3">
        <f>IF(S136=0,"",R136/S136)</f>
        <v/>
      </c>
      <c r="X136" s="4">
        <f>IF(S136=0,"",T136*Pesos!$B$2+U136*Pesos!$B$3+V136*Pesos!$B$4+W136*Pesos!$B$5)</f>
        <v/>
      </c>
    </row>
    <row r="137">
      <c r="A137" s="2" t="n">
        <v>136</v>
      </c>
      <c r="B137" t="n">
        <v>8</v>
      </c>
      <c r="C137" t="n">
        <v>480</v>
      </c>
      <c r="D137" t="n">
        <v>1065</v>
      </c>
      <c r="E137" t="n">
        <v>710</v>
      </c>
      <c r="F137" t="n">
        <v>250</v>
      </c>
      <c r="G137" t="n">
        <v>430</v>
      </c>
      <c r="H137" t="n">
        <v>600</v>
      </c>
      <c r="I137" t="n">
        <v>1440</v>
      </c>
      <c r="J137" t="n">
        <v>3370</v>
      </c>
      <c r="K137" t="n">
        <v>1060</v>
      </c>
      <c r="L137" t="n">
        <v>1300</v>
      </c>
      <c r="M137" t="n">
        <v>940</v>
      </c>
      <c r="N137" s="6" t="n">
        <v>11645</v>
      </c>
      <c r="O137">
        <f>SUM(C137:H137)</f>
        <v/>
      </c>
      <c r="P137">
        <f>I137</f>
        <v/>
      </c>
      <c r="Q137">
        <f>J137</f>
        <v/>
      </c>
      <c r="R137">
        <f>SUM(K137:M137)</f>
        <v/>
      </c>
      <c r="S137">
        <f>SUM(O137:R137)</f>
        <v/>
      </c>
      <c r="T137" s="3">
        <f>IF(S137=0,"",O137/S137)</f>
        <v/>
      </c>
      <c r="U137" s="3">
        <f>IF(S137=0,"",P137/S137)</f>
        <v/>
      </c>
      <c r="V137" s="3">
        <f>IF(S137=0,"",Q137/S137)</f>
        <v/>
      </c>
      <c r="W137" s="3">
        <f>IF(S137=0,"",R137/S137)</f>
        <v/>
      </c>
      <c r="X137" s="4">
        <f>IF(S137=0,"",T137*Pesos!$B$2+U137*Pesos!$B$3+V137*Pesos!$B$4+W137*Pesos!$B$5)</f>
        <v/>
      </c>
    </row>
    <row r="138">
      <c r="A138" s="2" t="n">
        <v>137</v>
      </c>
      <c r="B138" t="n">
        <v>11</v>
      </c>
      <c r="C138" t="n">
        <v>1230</v>
      </c>
      <c r="D138" t="n">
        <v>1025</v>
      </c>
      <c r="E138" t="n">
        <v>1305</v>
      </c>
      <c r="F138" t="n">
        <v>495</v>
      </c>
      <c r="G138" t="n">
        <v>770</v>
      </c>
      <c r="H138" t="n">
        <v>580</v>
      </c>
      <c r="I138" t="n">
        <v>1965</v>
      </c>
      <c r="J138" t="n">
        <v>2630</v>
      </c>
      <c r="K138" t="n">
        <v>1400</v>
      </c>
      <c r="L138" t="n">
        <v>1435</v>
      </c>
      <c r="M138" t="n">
        <v>2025</v>
      </c>
      <c r="N138" s="6" t="n">
        <v>14870</v>
      </c>
      <c r="O138">
        <f>SUM(C138:H138)</f>
        <v/>
      </c>
      <c r="P138">
        <f>I138</f>
        <v/>
      </c>
      <c r="Q138">
        <f>J138</f>
        <v/>
      </c>
      <c r="R138">
        <f>SUM(K138:M138)</f>
        <v/>
      </c>
      <c r="S138">
        <f>SUM(O138:R138)</f>
        <v/>
      </c>
      <c r="T138" s="3">
        <f>IF(S138=0,"",O138/S138)</f>
        <v/>
      </c>
      <c r="U138" s="3">
        <f>IF(S138=0,"",P138/S138)</f>
        <v/>
      </c>
      <c r="V138" s="3">
        <f>IF(S138=0,"",Q138/S138)</f>
        <v/>
      </c>
      <c r="W138" s="3">
        <f>IF(S138=0,"",R138/S138)</f>
        <v/>
      </c>
      <c r="X138" s="4">
        <f>IF(S138=0,"",T138*Pesos!$B$2+U138*Pesos!$B$3+V138*Pesos!$B$4+W138*Pesos!$B$5)</f>
        <v/>
      </c>
    </row>
    <row r="139">
      <c r="A139" s="2" t="n">
        <v>138</v>
      </c>
      <c r="B139" t="n">
        <v>8</v>
      </c>
      <c r="C139" t="n">
        <v>1245</v>
      </c>
      <c r="D139" t="n">
        <v>945</v>
      </c>
      <c r="E139" t="n">
        <v>255</v>
      </c>
      <c r="F139" t="n">
        <v>435</v>
      </c>
      <c r="G139" t="n">
        <v>530</v>
      </c>
      <c r="H139" t="n">
        <v>455</v>
      </c>
      <c r="I139" t="n">
        <v>1290</v>
      </c>
      <c r="J139" t="n">
        <v>1755</v>
      </c>
      <c r="K139" t="n">
        <v>2545</v>
      </c>
      <c r="L139" t="n">
        <v>1755</v>
      </c>
      <c r="M139" t="n">
        <v>1010</v>
      </c>
      <c r="N139" s="6" t="n">
        <v>12220</v>
      </c>
      <c r="O139">
        <f>SUM(C139:H139)</f>
        <v/>
      </c>
      <c r="P139">
        <f>I139</f>
        <v/>
      </c>
      <c r="Q139">
        <f>J139</f>
        <v/>
      </c>
      <c r="R139">
        <f>SUM(K139:M139)</f>
        <v/>
      </c>
      <c r="S139">
        <f>SUM(O139:R139)</f>
        <v/>
      </c>
      <c r="T139" s="3">
        <f>IF(S139=0,"",O139/S139)</f>
        <v/>
      </c>
      <c r="U139" s="3">
        <f>IF(S139=0,"",P139/S139)</f>
        <v/>
      </c>
      <c r="V139" s="3">
        <f>IF(S139=0,"",Q139/S139)</f>
        <v/>
      </c>
      <c r="W139" s="3">
        <f>IF(S139=0,"",R139/S139)</f>
        <v/>
      </c>
      <c r="X139" s="4">
        <f>IF(S139=0,"",T139*Pesos!$B$2+U139*Pesos!$B$3+V139*Pesos!$B$4+W139*Pesos!$B$5)</f>
        <v/>
      </c>
    </row>
    <row r="140">
      <c r="A140" s="2" t="n">
        <v>139</v>
      </c>
      <c r="B140" t="n">
        <v>7</v>
      </c>
      <c r="C140" t="n">
        <v>580</v>
      </c>
      <c r="D140" t="n">
        <v>1315</v>
      </c>
      <c r="E140" t="n">
        <v>1435</v>
      </c>
      <c r="F140" t="n">
        <v>705</v>
      </c>
      <c r="G140" t="n">
        <v>1315</v>
      </c>
      <c r="H140" t="n">
        <v>1345</v>
      </c>
      <c r="I140" t="n">
        <v>2755</v>
      </c>
      <c r="J140" t="n">
        <v>1960</v>
      </c>
      <c r="K140" t="n">
        <v>335</v>
      </c>
      <c r="L140" t="n">
        <v>275</v>
      </c>
      <c r="M140" t="n">
        <v>200</v>
      </c>
      <c r="N140" s="6" t="n">
        <v>12220</v>
      </c>
      <c r="O140">
        <f>SUM(C140:H140)</f>
        <v/>
      </c>
      <c r="P140">
        <f>I140</f>
        <v/>
      </c>
      <c r="Q140">
        <f>J140</f>
        <v/>
      </c>
      <c r="R140">
        <f>SUM(K140:M140)</f>
        <v/>
      </c>
      <c r="S140">
        <f>SUM(O140:R140)</f>
        <v/>
      </c>
      <c r="T140" s="3">
        <f>IF(S140=0,"",O140/S140)</f>
        <v/>
      </c>
      <c r="U140" s="3">
        <f>IF(S140=0,"",P140/S140)</f>
        <v/>
      </c>
      <c r="V140" s="3">
        <f>IF(S140=0,"",Q140/S140)</f>
        <v/>
      </c>
      <c r="W140" s="3">
        <f>IF(S140=0,"",R140/S140)</f>
        <v/>
      </c>
      <c r="X140" s="4">
        <f>IF(S140=0,"",T140*Pesos!$B$2+U140*Pesos!$B$3+V140*Pesos!$B$4+W140*Pesos!$B$5)</f>
        <v/>
      </c>
    </row>
    <row r="141">
      <c r="A141" s="2" t="n">
        <v>140</v>
      </c>
      <c r="B141" t="n">
        <v>8</v>
      </c>
      <c r="C141" t="n">
        <v>1215</v>
      </c>
      <c r="D141" t="n">
        <v>935</v>
      </c>
      <c r="E141" t="n">
        <v>425</v>
      </c>
      <c r="F141" t="n">
        <v>540</v>
      </c>
      <c r="G141" t="n">
        <v>480</v>
      </c>
      <c r="H141" t="n">
        <v>445</v>
      </c>
      <c r="I141" t="n">
        <v>1370</v>
      </c>
      <c r="J141" t="n">
        <v>1720</v>
      </c>
      <c r="K141" t="n">
        <v>1190</v>
      </c>
      <c r="L141" t="n">
        <v>1010</v>
      </c>
      <c r="M141" t="n">
        <v>835</v>
      </c>
      <c r="N141" s="6" t="n">
        <v>10165</v>
      </c>
      <c r="O141">
        <f>SUM(C141:H141)</f>
        <v/>
      </c>
      <c r="P141">
        <f>I141</f>
        <v/>
      </c>
      <c r="Q141">
        <f>J141</f>
        <v/>
      </c>
      <c r="R141">
        <f>SUM(K141:M141)</f>
        <v/>
      </c>
      <c r="S141">
        <f>SUM(O141:R141)</f>
        <v/>
      </c>
      <c r="T141" s="3">
        <f>IF(S141=0,"",O141/S141)</f>
        <v/>
      </c>
      <c r="U141" s="3">
        <f>IF(S141=0,"",P141/S141)</f>
        <v/>
      </c>
      <c r="V141" s="3">
        <f>IF(S141=0,"",Q141/S141)</f>
        <v/>
      </c>
      <c r="W141" s="3">
        <f>IF(S141=0,"",R141/S141)</f>
        <v/>
      </c>
      <c r="X141" s="4">
        <f>IF(S141=0,"",T141*Pesos!$B$2+U141*Pesos!$B$3+V141*Pesos!$B$4+W141*Pesos!$B$5)</f>
        <v/>
      </c>
    </row>
    <row r="142">
      <c r="A142" s="2" t="n">
        <v>141</v>
      </c>
      <c r="B142" t="n">
        <v>8</v>
      </c>
      <c r="C142" t="n">
        <v>655</v>
      </c>
      <c r="D142" t="n">
        <v>715</v>
      </c>
      <c r="E142" t="n">
        <v>835</v>
      </c>
      <c r="F142" t="n">
        <v>620</v>
      </c>
      <c r="G142" t="n">
        <v>480</v>
      </c>
      <c r="H142" t="n">
        <v>515</v>
      </c>
      <c r="I142" t="n">
        <v>1515</v>
      </c>
      <c r="J142" t="n">
        <v>1405</v>
      </c>
      <c r="K142" t="n">
        <v>705</v>
      </c>
      <c r="L142" t="n">
        <v>685</v>
      </c>
      <c r="M142" t="n">
        <v>1200</v>
      </c>
      <c r="N142" s="6" t="n">
        <v>9330</v>
      </c>
      <c r="O142">
        <f>SUM(C142:H142)</f>
        <v/>
      </c>
      <c r="P142">
        <f>I142</f>
        <v/>
      </c>
      <c r="Q142">
        <f>J142</f>
        <v/>
      </c>
      <c r="R142">
        <f>SUM(K142:M142)</f>
        <v/>
      </c>
      <c r="S142">
        <f>SUM(O142:R142)</f>
        <v/>
      </c>
      <c r="T142" s="3">
        <f>IF(S142=0,"",O142/S142)</f>
        <v/>
      </c>
      <c r="U142" s="3">
        <f>IF(S142=0,"",P142/S142)</f>
        <v/>
      </c>
      <c r="V142" s="3">
        <f>IF(S142=0,"",Q142/S142)</f>
        <v/>
      </c>
      <c r="W142" s="3">
        <f>IF(S142=0,"",R142/S142)</f>
        <v/>
      </c>
      <c r="X142" s="4">
        <f>IF(S142=0,"",T142*Pesos!$B$2+U142*Pesos!$B$3+V142*Pesos!$B$4+W142*Pesos!$B$5)</f>
        <v/>
      </c>
    </row>
    <row r="143">
      <c r="A143" s="2" t="n">
        <v>142</v>
      </c>
      <c r="B143" t="n">
        <v>8</v>
      </c>
      <c r="C143" t="n">
        <v>985</v>
      </c>
      <c r="D143" t="n">
        <v>1150</v>
      </c>
      <c r="E143" t="n">
        <v>1135</v>
      </c>
      <c r="F143" t="n">
        <v>440</v>
      </c>
      <c r="G143" t="n">
        <v>510</v>
      </c>
      <c r="H143" t="n">
        <v>575</v>
      </c>
      <c r="I143" t="n">
        <v>1350</v>
      </c>
      <c r="J143" t="n">
        <v>1870</v>
      </c>
      <c r="K143" t="n">
        <v>1385</v>
      </c>
      <c r="L143" t="n">
        <v>855</v>
      </c>
      <c r="M143" t="n">
        <v>780</v>
      </c>
      <c r="N143" s="6" t="n">
        <v>11040</v>
      </c>
      <c r="O143">
        <f>SUM(C143:H143)</f>
        <v/>
      </c>
      <c r="P143">
        <f>I143</f>
        <v/>
      </c>
      <c r="Q143">
        <f>J143</f>
        <v/>
      </c>
      <c r="R143">
        <f>SUM(K143:M143)</f>
        <v/>
      </c>
      <c r="S143">
        <f>SUM(O143:R143)</f>
        <v/>
      </c>
      <c r="T143" s="3">
        <f>IF(S143=0,"",O143/S143)</f>
        <v/>
      </c>
      <c r="U143" s="3">
        <f>IF(S143=0,"",P143/S143)</f>
        <v/>
      </c>
      <c r="V143" s="3">
        <f>IF(S143=0,"",Q143/S143)</f>
        <v/>
      </c>
      <c r="W143" s="3">
        <f>IF(S143=0,"",R143/S143)</f>
        <v/>
      </c>
      <c r="X143" s="4">
        <f>IF(S143=0,"",T143*Pesos!$B$2+U143*Pesos!$B$3+V143*Pesos!$B$4+W143*Pesos!$B$5)</f>
        <v/>
      </c>
    </row>
    <row r="144">
      <c r="A144" s="2" t="n">
        <v>143</v>
      </c>
      <c r="B144" t="n">
        <v>7</v>
      </c>
      <c r="C144" t="n">
        <v>1295</v>
      </c>
      <c r="D144" t="n">
        <v>1565</v>
      </c>
      <c r="E144" t="n">
        <v>1610</v>
      </c>
      <c r="F144" t="n">
        <v>1450</v>
      </c>
      <c r="G144" t="n">
        <v>1425</v>
      </c>
      <c r="H144" t="n">
        <v>1125</v>
      </c>
      <c r="I144" t="n">
        <v>5140</v>
      </c>
      <c r="J144" t="n">
        <v>2600</v>
      </c>
      <c r="K144" t="n">
        <v>515</v>
      </c>
      <c r="L144" s="7" t="n">
        <v>80</v>
      </c>
      <c r="M144" t="n">
        <v>85</v>
      </c>
      <c r="N144" s="6" t="n">
        <v>16885</v>
      </c>
      <c r="O144">
        <f>SUM(C144:H144)</f>
        <v/>
      </c>
      <c r="P144">
        <f>I144</f>
        <v/>
      </c>
      <c r="Q144">
        <f>J144</f>
        <v/>
      </c>
      <c r="R144">
        <f>SUM(K144:M144)</f>
        <v/>
      </c>
      <c r="S144">
        <f>SUM(O144:R144)</f>
        <v/>
      </c>
      <c r="T144" s="3">
        <f>IF(S144=0,"",O144/S144)</f>
        <v/>
      </c>
      <c r="U144" s="3">
        <f>IF(S144=0,"",P144/S144)</f>
        <v/>
      </c>
      <c r="V144" s="3">
        <f>IF(S144=0,"",Q144/S144)</f>
        <v/>
      </c>
      <c r="W144" s="3">
        <f>IF(S144=0,"",R144/S144)</f>
        <v/>
      </c>
      <c r="X144" s="4">
        <f>IF(S144=0,"",T144*Pesos!$B$2+U144*Pesos!$B$3+V144*Pesos!$B$4+W144*Pesos!$B$5)</f>
        <v/>
      </c>
    </row>
    <row r="145">
      <c r="A145" s="2" t="n">
        <v>144</v>
      </c>
      <c r="B145" t="n">
        <v>8</v>
      </c>
      <c r="C145" t="n">
        <v>820</v>
      </c>
      <c r="D145" t="n">
        <v>505</v>
      </c>
      <c r="E145" t="n">
        <v>645</v>
      </c>
      <c r="F145" t="n">
        <v>190</v>
      </c>
      <c r="G145" t="n">
        <v>385</v>
      </c>
      <c r="H145" t="n">
        <v>595</v>
      </c>
      <c r="I145" t="n">
        <v>1425</v>
      </c>
      <c r="J145" t="n">
        <v>4760</v>
      </c>
      <c r="K145" t="n">
        <v>1945</v>
      </c>
      <c r="L145" t="n">
        <v>680</v>
      </c>
      <c r="M145" t="n">
        <v>695</v>
      </c>
      <c r="N145" s="6" t="n">
        <v>12645</v>
      </c>
      <c r="O145">
        <f>SUM(C145:H145)</f>
        <v/>
      </c>
      <c r="P145">
        <f>I145</f>
        <v/>
      </c>
      <c r="Q145">
        <f>J145</f>
        <v/>
      </c>
      <c r="R145">
        <f>SUM(K145:M145)</f>
        <v/>
      </c>
      <c r="S145">
        <f>SUM(O145:R145)</f>
        <v/>
      </c>
      <c r="T145" s="3">
        <f>IF(S145=0,"",O145/S145)</f>
        <v/>
      </c>
      <c r="U145" s="3">
        <f>IF(S145=0,"",P145/S145)</f>
        <v/>
      </c>
      <c r="V145" s="3">
        <f>IF(S145=0,"",Q145/S145)</f>
        <v/>
      </c>
      <c r="W145" s="3">
        <f>IF(S145=0,"",R145/S145)</f>
        <v/>
      </c>
      <c r="X145" s="4">
        <f>IF(S145=0,"",T145*Pesos!$B$2+U145*Pesos!$B$3+V145*Pesos!$B$4+W145*Pesos!$B$5)</f>
        <v/>
      </c>
    </row>
    <row r="146">
      <c r="A146" s="2" t="n">
        <v>145</v>
      </c>
      <c r="B146" t="n">
        <v>8</v>
      </c>
      <c r="C146" t="n">
        <v>820</v>
      </c>
      <c r="D146" t="n">
        <v>705</v>
      </c>
      <c r="E146" t="n">
        <v>595</v>
      </c>
      <c r="F146" t="n">
        <v>295</v>
      </c>
      <c r="G146" t="n">
        <v>255</v>
      </c>
      <c r="H146" t="n">
        <v>515</v>
      </c>
      <c r="I146" t="n">
        <v>1310</v>
      </c>
      <c r="J146" t="n">
        <v>1505</v>
      </c>
      <c r="K146" t="n">
        <v>1445</v>
      </c>
      <c r="L146" t="n">
        <v>1160</v>
      </c>
      <c r="M146" t="n">
        <v>925</v>
      </c>
      <c r="N146" s="6" t="n">
        <v>9535</v>
      </c>
      <c r="O146">
        <f>SUM(C146:H146)</f>
        <v/>
      </c>
      <c r="P146">
        <f>I146</f>
        <v/>
      </c>
      <c r="Q146">
        <f>J146</f>
        <v/>
      </c>
      <c r="R146">
        <f>SUM(K146:M146)</f>
        <v/>
      </c>
      <c r="S146">
        <f>SUM(O146:R146)</f>
        <v/>
      </c>
      <c r="T146" s="3">
        <f>IF(S146=0,"",O146/S146)</f>
        <v/>
      </c>
      <c r="U146" s="3">
        <f>IF(S146=0,"",P146/S146)</f>
        <v/>
      </c>
      <c r="V146" s="3">
        <f>IF(S146=0,"",Q146/S146)</f>
        <v/>
      </c>
      <c r="W146" s="3">
        <f>IF(S146=0,"",R146/S146)</f>
        <v/>
      </c>
      <c r="X146" s="4">
        <f>IF(S146=0,"",T146*Pesos!$B$2+U146*Pesos!$B$3+V146*Pesos!$B$4+W146*Pesos!$B$5)</f>
        <v/>
      </c>
    </row>
    <row r="147">
      <c r="A147" s="2" t="n">
        <v>146</v>
      </c>
      <c r="B147" t="n">
        <v>10</v>
      </c>
      <c r="C147" t="n">
        <v>525</v>
      </c>
      <c r="D147" t="n">
        <v>910</v>
      </c>
      <c r="E147" t="n">
        <v>865</v>
      </c>
      <c r="F147" t="n">
        <v>685</v>
      </c>
      <c r="G147" t="n">
        <v>385</v>
      </c>
      <c r="H147" t="n">
        <v>585</v>
      </c>
      <c r="I147" t="n">
        <v>1740</v>
      </c>
      <c r="J147" t="n">
        <v>2690</v>
      </c>
      <c r="K147" t="n">
        <v>1855</v>
      </c>
      <c r="L147" t="n">
        <v>1545</v>
      </c>
      <c r="M147" t="n">
        <v>1805</v>
      </c>
      <c r="N147" s="6" t="n">
        <v>13595</v>
      </c>
      <c r="O147">
        <f>SUM(C147:H147)</f>
        <v/>
      </c>
      <c r="P147">
        <f>I147</f>
        <v/>
      </c>
      <c r="Q147">
        <f>J147</f>
        <v/>
      </c>
      <c r="R147">
        <f>SUM(K147:M147)</f>
        <v/>
      </c>
      <c r="S147">
        <f>SUM(O147:R147)</f>
        <v/>
      </c>
      <c r="T147" s="3">
        <f>IF(S147=0,"",O147/S147)</f>
        <v/>
      </c>
      <c r="U147" s="3">
        <f>IF(S147=0,"",P147/S147)</f>
        <v/>
      </c>
      <c r="V147" s="3">
        <f>IF(S147=0,"",Q147/S147)</f>
        <v/>
      </c>
      <c r="W147" s="3">
        <f>IF(S147=0,"",R147/S147)</f>
        <v/>
      </c>
      <c r="X147" s="4">
        <f>IF(S147=0,"",T147*Pesos!$B$2+U147*Pesos!$B$3+V147*Pesos!$B$4+W147*Pesos!$B$5)</f>
        <v/>
      </c>
    </row>
    <row r="148">
      <c r="A148" s="2" t="n">
        <v>147</v>
      </c>
      <c r="B148" t="n">
        <v>11</v>
      </c>
      <c r="C148" t="n">
        <v>810</v>
      </c>
      <c r="D148" t="n">
        <v>1275</v>
      </c>
      <c r="E148" t="n">
        <v>1565</v>
      </c>
      <c r="F148" t="n">
        <v>710</v>
      </c>
      <c r="G148" t="n">
        <v>595</v>
      </c>
      <c r="H148" t="n">
        <v>630</v>
      </c>
      <c r="I148" t="n">
        <v>4015</v>
      </c>
      <c r="J148" t="n">
        <v>4250</v>
      </c>
      <c r="K148" t="n">
        <v>3255</v>
      </c>
      <c r="L148" t="n">
        <v>1230</v>
      </c>
      <c r="M148" t="n">
        <v>1015</v>
      </c>
      <c r="N148" s="6" t="n">
        <v>19345</v>
      </c>
      <c r="O148">
        <f>SUM(C148:H148)</f>
        <v/>
      </c>
      <c r="P148">
        <f>I148</f>
        <v/>
      </c>
      <c r="Q148">
        <f>J148</f>
        <v/>
      </c>
      <c r="R148">
        <f>SUM(K148:M148)</f>
        <v/>
      </c>
      <c r="S148">
        <f>SUM(O148:R148)</f>
        <v/>
      </c>
      <c r="T148" s="3">
        <f>IF(S148=0,"",O148/S148)</f>
        <v/>
      </c>
      <c r="U148" s="3">
        <f>IF(S148=0,"",P148/S148)</f>
        <v/>
      </c>
      <c r="V148" s="3">
        <f>IF(S148=0,"",Q148/S148)</f>
        <v/>
      </c>
      <c r="W148" s="3">
        <f>IF(S148=0,"",R148/S148)</f>
        <v/>
      </c>
      <c r="X148" s="4">
        <f>IF(S148=0,"",T148*Pesos!$B$2+U148*Pesos!$B$3+V148*Pesos!$B$4+W148*Pesos!$B$5)</f>
        <v/>
      </c>
    </row>
    <row r="149">
      <c r="A149" s="2" t="n">
        <v>148</v>
      </c>
      <c r="B149" t="n">
        <v>9</v>
      </c>
      <c r="C149" t="n">
        <v>270</v>
      </c>
      <c r="D149" t="n">
        <v>940</v>
      </c>
      <c r="E149" t="n">
        <v>470</v>
      </c>
      <c r="F149" t="n">
        <v>310</v>
      </c>
      <c r="G149" t="n">
        <v>215</v>
      </c>
      <c r="H149" t="n">
        <v>540</v>
      </c>
      <c r="I149" t="n">
        <v>1725</v>
      </c>
      <c r="J149" t="n">
        <v>1940</v>
      </c>
      <c r="K149" t="n">
        <v>1210</v>
      </c>
      <c r="L149" t="n">
        <v>1525</v>
      </c>
      <c r="M149" t="n">
        <v>1345</v>
      </c>
      <c r="N149" s="6" t="n">
        <v>10490</v>
      </c>
      <c r="O149">
        <f>SUM(C149:H149)</f>
        <v/>
      </c>
      <c r="P149">
        <f>I149</f>
        <v/>
      </c>
      <c r="Q149">
        <f>J149</f>
        <v/>
      </c>
      <c r="R149">
        <f>SUM(K149:M149)</f>
        <v/>
      </c>
      <c r="S149">
        <f>SUM(O149:R149)</f>
        <v/>
      </c>
      <c r="T149" s="3">
        <f>IF(S149=0,"",O149/S149)</f>
        <v/>
      </c>
      <c r="U149" s="3">
        <f>IF(S149=0,"",P149/S149)</f>
        <v/>
      </c>
      <c r="V149" s="3">
        <f>IF(S149=0,"",Q149/S149)</f>
        <v/>
      </c>
      <c r="W149" s="3">
        <f>IF(S149=0,"",R149/S149)</f>
        <v/>
      </c>
      <c r="X149" s="4">
        <f>IF(S149=0,"",T149*Pesos!$B$2+U149*Pesos!$B$3+V149*Pesos!$B$4+W149*Pesos!$B$5)</f>
        <v/>
      </c>
    </row>
    <row r="150">
      <c r="A150" s="2" t="n">
        <v>149</v>
      </c>
      <c r="B150" t="n">
        <v>9</v>
      </c>
      <c r="C150" t="n">
        <v>720</v>
      </c>
      <c r="D150" t="n">
        <v>645</v>
      </c>
      <c r="E150" t="n">
        <v>545</v>
      </c>
      <c r="F150" t="n">
        <v>485</v>
      </c>
      <c r="G150" t="n">
        <v>375</v>
      </c>
      <c r="H150" t="n">
        <v>365</v>
      </c>
      <c r="I150" t="n">
        <v>1245</v>
      </c>
      <c r="J150" t="n">
        <v>1475</v>
      </c>
      <c r="K150" t="n">
        <v>910</v>
      </c>
      <c r="L150" t="n">
        <v>905</v>
      </c>
      <c r="M150" t="n">
        <v>1410</v>
      </c>
      <c r="N150" s="6" t="n">
        <v>9070</v>
      </c>
      <c r="O150">
        <f>SUM(C150:H150)</f>
        <v/>
      </c>
      <c r="P150">
        <f>I150</f>
        <v/>
      </c>
      <c r="Q150">
        <f>J150</f>
        <v/>
      </c>
      <c r="R150">
        <f>SUM(K150:M150)</f>
        <v/>
      </c>
      <c r="S150">
        <f>SUM(O150:R150)</f>
        <v/>
      </c>
      <c r="T150" s="3">
        <f>IF(S150=0,"",O150/S150)</f>
        <v/>
      </c>
      <c r="U150" s="3">
        <f>IF(S150=0,"",P150/S150)</f>
        <v/>
      </c>
      <c r="V150" s="3">
        <f>IF(S150=0,"",Q150/S150)</f>
        <v/>
      </c>
      <c r="W150" s="3">
        <f>IF(S150=0,"",R150/S150)</f>
        <v/>
      </c>
      <c r="X150" s="4">
        <f>IF(S150=0,"",T150*Pesos!$B$2+U150*Pesos!$B$3+V150*Pesos!$B$4+W150*Pesos!$B$5)</f>
        <v/>
      </c>
    </row>
    <row r="151">
      <c r="A151" s="2" t="n">
        <v>150</v>
      </c>
      <c r="B151" t="n">
        <v>9</v>
      </c>
      <c r="C151" t="n">
        <v>565</v>
      </c>
      <c r="D151" t="n">
        <v>935</v>
      </c>
      <c r="E151" t="n">
        <v>445</v>
      </c>
      <c r="F151" t="n">
        <v>495</v>
      </c>
      <c r="G151" t="n">
        <v>365</v>
      </c>
      <c r="H151" t="n">
        <v>350</v>
      </c>
      <c r="I151" t="n">
        <v>700</v>
      </c>
      <c r="J151" t="n">
        <v>1775</v>
      </c>
      <c r="K151" t="n">
        <v>1330</v>
      </c>
      <c r="L151" t="n">
        <v>825</v>
      </c>
      <c r="M151" t="n">
        <v>1190</v>
      </c>
      <c r="N151" s="6" t="n">
        <v>8975</v>
      </c>
      <c r="O151">
        <f>SUM(C151:H151)</f>
        <v/>
      </c>
      <c r="P151">
        <f>I151</f>
        <v/>
      </c>
      <c r="Q151">
        <f>J151</f>
        <v/>
      </c>
      <c r="R151">
        <f>SUM(K151:M151)</f>
        <v/>
      </c>
      <c r="S151">
        <f>SUM(O151:R151)</f>
        <v/>
      </c>
      <c r="T151" s="3">
        <f>IF(S151=0,"",O151/S151)</f>
        <v/>
      </c>
      <c r="U151" s="3">
        <f>IF(S151=0,"",P151/S151)</f>
        <v/>
      </c>
      <c r="V151" s="3">
        <f>IF(S151=0,"",Q151/S151)</f>
        <v/>
      </c>
      <c r="W151" s="3">
        <f>IF(S151=0,"",R151/S151)</f>
        <v/>
      </c>
      <c r="X151" s="4">
        <f>IF(S151=0,"",T151*Pesos!$B$2+U151*Pesos!$B$3+V151*Pesos!$B$4+W151*Pesos!$B$5)</f>
        <v/>
      </c>
    </row>
    <row r="152">
      <c r="A152" s="2" t="n">
        <v>151</v>
      </c>
      <c r="B152" t="n">
        <v>11</v>
      </c>
      <c r="C152" t="n">
        <v>885</v>
      </c>
      <c r="D152" t="n">
        <v>960</v>
      </c>
      <c r="E152" t="n">
        <v>595</v>
      </c>
      <c r="F152" t="n">
        <v>875</v>
      </c>
      <c r="G152" t="n">
        <v>485</v>
      </c>
      <c r="H152" t="n">
        <v>395</v>
      </c>
      <c r="I152" t="n">
        <v>2135</v>
      </c>
      <c r="J152" t="n">
        <v>1995</v>
      </c>
      <c r="K152" t="n">
        <v>2245</v>
      </c>
      <c r="L152" t="n">
        <v>2835</v>
      </c>
      <c r="M152" t="n">
        <v>1290</v>
      </c>
      <c r="N152" s="6" t="n">
        <v>14695</v>
      </c>
      <c r="O152">
        <f>SUM(C152:H152)</f>
        <v/>
      </c>
      <c r="P152">
        <f>I152</f>
        <v/>
      </c>
      <c r="Q152">
        <f>J152</f>
        <v/>
      </c>
      <c r="R152">
        <f>SUM(K152:M152)</f>
        <v/>
      </c>
      <c r="S152">
        <f>SUM(O152:R152)</f>
        <v/>
      </c>
      <c r="T152" s="3">
        <f>IF(S152=0,"",O152/S152)</f>
        <v/>
      </c>
      <c r="U152" s="3">
        <f>IF(S152=0,"",P152/S152)</f>
        <v/>
      </c>
      <c r="V152" s="3">
        <f>IF(S152=0,"",Q152/S152)</f>
        <v/>
      </c>
      <c r="W152" s="3">
        <f>IF(S152=0,"",R152/S152)</f>
        <v/>
      </c>
      <c r="X152" s="4">
        <f>IF(S152=0,"",T152*Pesos!$B$2+U152*Pesos!$B$3+V152*Pesos!$B$4+W152*Pesos!$B$5)</f>
        <v/>
      </c>
    </row>
    <row r="153">
      <c r="A153" s="2" t="n">
        <v>152</v>
      </c>
      <c r="B153" t="n">
        <v>8</v>
      </c>
      <c r="C153" t="n">
        <v>440</v>
      </c>
      <c r="D153" t="n">
        <v>620</v>
      </c>
      <c r="E153" t="n">
        <v>415</v>
      </c>
      <c r="F153" t="n">
        <v>265</v>
      </c>
      <c r="G153" t="n">
        <v>365</v>
      </c>
      <c r="H153" t="n">
        <v>505</v>
      </c>
      <c r="I153" t="n">
        <v>980</v>
      </c>
      <c r="J153" t="n">
        <v>1215</v>
      </c>
      <c r="K153" t="n">
        <v>875</v>
      </c>
      <c r="L153" t="n">
        <v>655</v>
      </c>
      <c r="M153" t="n">
        <v>730</v>
      </c>
      <c r="N153" s="6" t="n">
        <v>7070</v>
      </c>
      <c r="O153">
        <f>SUM(C153:H153)</f>
        <v/>
      </c>
      <c r="P153">
        <f>I153</f>
        <v/>
      </c>
      <c r="Q153">
        <f>J153</f>
        <v/>
      </c>
      <c r="R153">
        <f>SUM(K153:M153)</f>
        <v/>
      </c>
      <c r="S153">
        <f>SUM(O153:R153)</f>
        <v/>
      </c>
      <c r="T153" s="3">
        <f>IF(S153=0,"",O153/S153)</f>
        <v/>
      </c>
      <c r="U153" s="3">
        <f>IF(S153=0,"",P153/S153)</f>
        <v/>
      </c>
      <c r="V153" s="3">
        <f>IF(S153=0,"",Q153/S153)</f>
        <v/>
      </c>
      <c r="W153" s="3">
        <f>IF(S153=0,"",R153/S153)</f>
        <v/>
      </c>
      <c r="X153" s="4">
        <f>IF(S153=0,"",T153*Pesos!$B$2+U153*Pesos!$B$3+V153*Pesos!$B$4+W153*Pesos!$B$5)</f>
        <v/>
      </c>
    </row>
    <row r="154">
      <c r="A154" s="2" t="n">
        <v>153</v>
      </c>
      <c r="B154" t="n">
        <v>7</v>
      </c>
      <c r="C154" t="n">
        <v>790</v>
      </c>
      <c r="D154" t="n">
        <v>890</v>
      </c>
      <c r="E154" t="n">
        <v>525</v>
      </c>
      <c r="F154" t="n">
        <v>385</v>
      </c>
      <c r="G154" t="n">
        <v>405</v>
      </c>
      <c r="H154" t="n">
        <v>380</v>
      </c>
      <c r="I154" t="n">
        <v>1225</v>
      </c>
      <c r="J154" t="n">
        <v>1445</v>
      </c>
      <c r="K154" t="n">
        <v>820</v>
      </c>
      <c r="L154" t="n">
        <v>925</v>
      </c>
      <c r="M154" t="n">
        <v>1160</v>
      </c>
      <c r="N154" s="6" t="n">
        <v>8940</v>
      </c>
      <c r="O154">
        <f>SUM(C154:H154)</f>
        <v/>
      </c>
      <c r="P154">
        <f>I154</f>
        <v/>
      </c>
      <c r="Q154">
        <f>J154</f>
        <v/>
      </c>
      <c r="R154">
        <f>SUM(K154:M154)</f>
        <v/>
      </c>
      <c r="S154">
        <f>SUM(O154:R154)</f>
        <v/>
      </c>
      <c r="T154" s="3">
        <f>IF(S154=0,"",O154/S154)</f>
        <v/>
      </c>
      <c r="U154" s="3">
        <f>IF(S154=0,"",P154/S154)</f>
        <v/>
      </c>
      <c r="V154" s="3">
        <f>IF(S154=0,"",Q154/S154)</f>
        <v/>
      </c>
      <c r="W154" s="3">
        <f>IF(S154=0,"",R154/S154)</f>
        <v/>
      </c>
      <c r="X154" s="4">
        <f>IF(S154=0,"",T154*Pesos!$B$2+U154*Pesos!$B$3+V154*Pesos!$B$4+W154*Pesos!$B$5)</f>
        <v/>
      </c>
    </row>
    <row r="155">
      <c r="A155" s="2" t="n">
        <v>154</v>
      </c>
      <c r="B155" t="n">
        <v>8</v>
      </c>
      <c r="C155" t="n">
        <v>155</v>
      </c>
      <c r="D155" t="n">
        <v>750</v>
      </c>
      <c r="E155" t="n">
        <v>535</v>
      </c>
      <c r="F155" t="n">
        <v>445</v>
      </c>
      <c r="G155" t="n">
        <v>670</v>
      </c>
      <c r="H155" t="n">
        <v>145</v>
      </c>
      <c r="I155" t="n">
        <v>1220</v>
      </c>
      <c r="J155" t="n">
        <v>1620</v>
      </c>
      <c r="K155" t="n">
        <v>1200</v>
      </c>
      <c r="L155" t="n">
        <v>935</v>
      </c>
      <c r="M155" t="n">
        <v>1100</v>
      </c>
      <c r="N155" s="6" t="n">
        <v>8775</v>
      </c>
      <c r="O155">
        <f>SUM(C155:H155)</f>
        <v/>
      </c>
      <c r="P155">
        <f>I155</f>
        <v/>
      </c>
      <c r="Q155">
        <f>J155</f>
        <v/>
      </c>
      <c r="R155">
        <f>SUM(K155:M155)</f>
        <v/>
      </c>
      <c r="S155">
        <f>SUM(O155:R155)</f>
        <v/>
      </c>
      <c r="T155" s="3">
        <f>IF(S155=0,"",O155/S155)</f>
        <v/>
      </c>
      <c r="U155" s="3">
        <f>IF(S155=0,"",P155/S155)</f>
        <v/>
      </c>
      <c r="V155" s="3">
        <f>IF(S155=0,"",Q155/S155)</f>
        <v/>
      </c>
      <c r="W155" s="3">
        <f>IF(S155=0,"",R155/S155)</f>
        <v/>
      </c>
      <c r="X155" s="4">
        <f>IF(S155=0,"",T155*Pesos!$B$2+U155*Pesos!$B$3+V155*Pesos!$B$4+W155*Pesos!$B$5)</f>
        <v/>
      </c>
    </row>
    <row r="156">
      <c r="A156" s="2" t="n">
        <v>155</v>
      </c>
      <c r="B156" t="n">
        <v>8</v>
      </c>
      <c r="C156" t="n">
        <v>505</v>
      </c>
      <c r="D156" t="n">
        <v>365</v>
      </c>
      <c r="E156" t="n">
        <v>305</v>
      </c>
      <c r="F156" t="n">
        <v>320</v>
      </c>
      <c r="G156" t="n">
        <v>385</v>
      </c>
      <c r="H156" t="n">
        <v>295</v>
      </c>
      <c r="I156" t="n">
        <v>1170</v>
      </c>
      <c r="J156" t="n">
        <v>1300</v>
      </c>
      <c r="K156" t="n">
        <v>975</v>
      </c>
      <c r="L156" t="n">
        <v>1035</v>
      </c>
      <c r="M156" t="n">
        <v>1035</v>
      </c>
      <c r="N156" s="6" t="n">
        <v>7695</v>
      </c>
      <c r="O156">
        <f>SUM(C156:H156)</f>
        <v/>
      </c>
      <c r="P156">
        <f>I156</f>
        <v/>
      </c>
      <c r="Q156">
        <f>J156</f>
        <v/>
      </c>
      <c r="R156">
        <f>SUM(K156:M156)</f>
        <v/>
      </c>
      <c r="S156">
        <f>SUM(O156:R156)</f>
        <v/>
      </c>
      <c r="T156" s="3">
        <f>IF(S156=0,"",O156/S156)</f>
        <v/>
      </c>
      <c r="U156" s="3">
        <f>IF(S156=0,"",P156/S156)</f>
        <v/>
      </c>
      <c r="V156" s="3">
        <f>IF(S156=0,"",Q156/S156)</f>
        <v/>
      </c>
      <c r="W156" s="3">
        <f>IF(S156=0,"",R156/S156)</f>
        <v/>
      </c>
      <c r="X156" s="4">
        <f>IF(S156=0,"",T156*Pesos!$B$2+U156*Pesos!$B$3+V156*Pesos!$B$4+W156*Pesos!$B$5)</f>
        <v/>
      </c>
    </row>
    <row r="157">
      <c r="A157" s="2" t="n">
        <v>156</v>
      </c>
      <c r="B157" t="n">
        <v>9</v>
      </c>
      <c r="C157" t="n">
        <v>1210</v>
      </c>
      <c r="D157" t="n">
        <v>785</v>
      </c>
      <c r="E157" t="n">
        <v>465</v>
      </c>
      <c r="F157" t="n">
        <v>555</v>
      </c>
      <c r="G157" t="n">
        <v>355</v>
      </c>
      <c r="H157" t="n">
        <v>370</v>
      </c>
      <c r="I157" t="n">
        <v>1340</v>
      </c>
      <c r="J157" t="n">
        <v>1970</v>
      </c>
      <c r="K157" t="n">
        <v>780</v>
      </c>
      <c r="L157" t="n">
        <v>820</v>
      </c>
      <c r="M157" t="n">
        <v>1475</v>
      </c>
      <c r="N157" s="6" t="n">
        <v>10115</v>
      </c>
      <c r="O157">
        <f>SUM(C157:H157)</f>
        <v/>
      </c>
      <c r="P157">
        <f>I157</f>
        <v/>
      </c>
      <c r="Q157">
        <f>J157</f>
        <v/>
      </c>
      <c r="R157">
        <f>SUM(K157:M157)</f>
        <v/>
      </c>
      <c r="S157">
        <f>SUM(O157:R157)</f>
        <v/>
      </c>
      <c r="T157" s="3">
        <f>IF(S157=0,"",O157/S157)</f>
        <v/>
      </c>
      <c r="U157" s="3">
        <f>IF(S157=0,"",P157/S157)</f>
        <v/>
      </c>
      <c r="V157" s="3">
        <f>IF(S157=0,"",Q157/S157)</f>
        <v/>
      </c>
      <c r="W157" s="3">
        <f>IF(S157=0,"",R157/S157)</f>
        <v/>
      </c>
      <c r="X157" s="4">
        <f>IF(S157=0,"",T157*Pesos!$B$2+U157*Pesos!$B$3+V157*Pesos!$B$4+W157*Pesos!$B$5)</f>
        <v/>
      </c>
    </row>
    <row r="158">
      <c r="A158" s="2" t="n">
        <v>157</v>
      </c>
      <c r="B158" t="n">
        <v>9</v>
      </c>
      <c r="C158" t="n">
        <v>935</v>
      </c>
      <c r="D158" t="n">
        <v>875</v>
      </c>
      <c r="E158" t="n">
        <v>580</v>
      </c>
      <c r="F158" t="n">
        <v>260</v>
      </c>
      <c r="G158" t="n">
        <v>425</v>
      </c>
      <c r="H158" t="n">
        <v>785</v>
      </c>
      <c r="I158" t="n">
        <v>1940</v>
      </c>
      <c r="J158" t="n">
        <v>1715</v>
      </c>
      <c r="K158" t="n">
        <v>1235</v>
      </c>
      <c r="L158" t="n">
        <v>1150</v>
      </c>
      <c r="M158" t="n">
        <v>1060</v>
      </c>
      <c r="N158" s="6" t="n">
        <v>10960</v>
      </c>
      <c r="O158">
        <f>SUM(C158:H158)</f>
        <v/>
      </c>
      <c r="P158">
        <f>I158</f>
        <v/>
      </c>
      <c r="Q158">
        <f>J158</f>
        <v/>
      </c>
      <c r="R158">
        <f>SUM(K158:M158)</f>
        <v/>
      </c>
      <c r="S158">
        <f>SUM(O158:R158)</f>
        <v/>
      </c>
      <c r="T158" s="3">
        <f>IF(S158=0,"",O158/S158)</f>
        <v/>
      </c>
      <c r="U158" s="3">
        <f>IF(S158=0,"",P158/S158)</f>
        <v/>
      </c>
      <c r="V158" s="3">
        <f>IF(S158=0,"",Q158/S158)</f>
        <v/>
      </c>
      <c r="W158" s="3">
        <f>IF(S158=0,"",R158/S158)</f>
        <v/>
      </c>
      <c r="X158" s="4">
        <f>IF(S158=0,"",T158*Pesos!$B$2+U158*Pesos!$B$3+V158*Pesos!$B$4+W158*Pesos!$B$5)</f>
        <v/>
      </c>
    </row>
    <row r="159">
      <c r="A159" s="2" t="n">
        <v>158</v>
      </c>
      <c r="B159" t="n">
        <v>9</v>
      </c>
      <c r="C159" t="n">
        <v>430</v>
      </c>
      <c r="D159" t="n">
        <v>860</v>
      </c>
      <c r="E159" t="n">
        <v>620</v>
      </c>
      <c r="F159" t="n">
        <v>415</v>
      </c>
      <c r="G159" t="n">
        <v>640</v>
      </c>
      <c r="H159" t="n">
        <v>300</v>
      </c>
      <c r="I159" t="n">
        <v>1815</v>
      </c>
      <c r="J159" t="n">
        <v>1655</v>
      </c>
      <c r="K159" t="n">
        <v>1070</v>
      </c>
      <c r="L159" t="n">
        <v>915</v>
      </c>
      <c r="M159" t="n">
        <v>1480</v>
      </c>
      <c r="N159" s="6" t="n">
        <v>10195</v>
      </c>
      <c r="O159">
        <f>SUM(C159:H159)</f>
        <v/>
      </c>
      <c r="P159">
        <f>I159</f>
        <v/>
      </c>
      <c r="Q159">
        <f>J159</f>
        <v/>
      </c>
      <c r="R159">
        <f>SUM(K159:M159)</f>
        <v/>
      </c>
      <c r="S159">
        <f>SUM(O159:R159)</f>
        <v/>
      </c>
      <c r="T159" s="3">
        <f>IF(S159=0,"",O159/S159)</f>
        <v/>
      </c>
      <c r="U159" s="3">
        <f>IF(S159=0,"",P159/S159)</f>
        <v/>
      </c>
      <c r="V159" s="3">
        <f>IF(S159=0,"",Q159/S159)</f>
        <v/>
      </c>
      <c r="W159" s="3">
        <f>IF(S159=0,"",R159/S159)</f>
        <v/>
      </c>
      <c r="X159" s="4">
        <f>IF(S159=0,"",T159*Pesos!$B$2+U159*Pesos!$B$3+V159*Pesos!$B$4+W159*Pesos!$B$5)</f>
        <v/>
      </c>
    </row>
    <row r="160">
      <c r="A160" s="2" t="n">
        <v>159</v>
      </c>
      <c r="B160" t="n">
        <v>8</v>
      </c>
      <c r="C160" t="n">
        <v>450</v>
      </c>
      <c r="D160" t="n">
        <v>975</v>
      </c>
      <c r="E160" t="n">
        <v>470</v>
      </c>
      <c r="F160" t="n">
        <v>600</v>
      </c>
      <c r="G160" t="n">
        <v>385</v>
      </c>
      <c r="H160" t="n">
        <v>225</v>
      </c>
      <c r="I160" t="n">
        <v>1735</v>
      </c>
      <c r="J160" t="n">
        <v>2470</v>
      </c>
      <c r="K160" t="n">
        <v>1355</v>
      </c>
      <c r="L160" t="n">
        <v>1110</v>
      </c>
      <c r="M160" t="n">
        <v>1260</v>
      </c>
      <c r="N160" s="6" t="n">
        <v>11035</v>
      </c>
      <c r="O160">
        <f>SUM(C160:H160)</f>
        <v/>
      </c>
      <c r="P160">
        <f>I160</f>
        <v/>
      </c>
      <c r="Q160">
        <f>J160</f>
        <v/>
      </c>
      <c r="R160">
        <f>SUM(K160:M160)</f>
        <v/>
      </c>
      <c r="S160">
        <f>SUM(O160:R160)</f>
        <v/>
      </c>
      <c r="T160" s="3">
        <f>IF(S160=0,"",O160/S160)</f>
        <v/>
      </c>
      <c r="U160" s="3">
        <f>IF(S160=0,"",P160/S160)</f>
        <v/>
      </c>
      <c r="V160" s="3">
        <f>IF(S160=0,"",Q160/S160)</f>
        <v/>
      </c>
      <c r="W160" s="3">
        <f>IF(S160=0,"",R160/S160)</f>
        <v/>
      </c>
      <c r="X160" s="4">
        <f>IF(S160=0,"",T160*Pesos!$B$2+U160*Pesos!$B$3+V160*Pesos!$B$4+W160*Pesos!$B$5)</f>
        <v/>
      </c>
    </row>
    <row r="161">
      <c r="A161" s="2" t="n">
        <v>160</v>
      </c>
      <c r="B161" t="n">
        <v>8</v>
      </c>
      <c r="C161" t="n">
        <v>630</v>
      </c>
      <c r="D161" t="n">
        <v>575</v>
      </c>
      <c r="E161" t="n">
        <v>700</v>
      </c>
      <c r="F161" t="n">
        <v>530</v>
      </c>
      <c r="G161" t="n">
        <v>420</v>
      </c>
      <c r="H161" t="n">
        <v>665</v>
      </c>
      <c r="I161" t="n">
        <v>1660</v>
      </c>
      <c r="J161" t="n">
        <v>2150</v>
      </c>
      <c r="K161" t="n">
        <v>1130</v>
      </c>
      <c r="L161" t="n">
        <v>1110</v>
      </c>
      <c r="M161" t="n">
        <v>1370</v>
      </c>
      <c r="N161" s="6" t="n">
        <v>10940</v>
      </c>
      <c r="O161">
        <f>SUM(C161:H161)</f>
        <v/>
      </c>
      <c r="P161">
        <f>I161</f>
        <v/>
      </c>
      <c r="Q161">
        <f>J161</f>
        <v/>
      </c>
      <c r="R161">
        <f>SUM(K161:M161)</f>
        <v/>
      </c>
      <c r="S161">
        <f>SUM(O161:R161)</f>
        <v/>
      </c>
      <c r="T161" s="3">
        <f>IF(S161=0,"",O161/S161)</f>
        <v/>
      </c>
      <c r="U161" s="3">
        <f>IF(S161=0,"",P161/S161)</f>
        <v/>
      </c>
      <c r="V161" s="3">
        <f>IF(S161=0,"",Q161/S161)</f>
        <v/>
      </c>
      <c r="W161" s="3">
        <f>IF(S161=0,"",R161/S161)</f>
        <v/>
      </c>
      <c r="X161" s="4">
        <f>IF(S161=0,"",T161*Pesos!$B$2+U161*Pesos!$B$3+V161*Pesos!$B$4+W161*Pesos!$B$5)</f>
        <v/>
      </c>
    </row>
    <row r="162">
      <c r="A162" s="2" t="n">
        <v>161</v>
      </c>
      <c r="B162" t="n">
        <v>7</v>
      </c>
      <c r="C162" t="n">
        <v>800</v>
      </c>
      <c r="D162" t="n">
        <v>555</v>
      </c>
      <c r="E162" t="n">
        <v>570</v>
      </c>
      <c r="F162" t="n">
        <v>560</v>
      </c>
      <c r="G162" t="n">
        <v>735</v>
      </c>
      <c r="H162" t="n">
        <v>650</v>
      </c>
      <c r="I162" t="n">
        <v>2220</v>
      </c>
      <c r="J162" t="n">
        <v>1755</v>
      </c>
      <c r="K162" t="n">
        <v>1365</v>
      </c>
      <c r="L162" t="n">
        <v>1070</v>
      </c>
      <c r="M162" t="n">
        <v>1035</v>
      </c>
      <c r="N162" s="6" t="n">
        <v>11320</v>
      </c>
      <c r="O162">
        <f>SUM(C162:H162)</f>
        <v/>
      </c>
      <c r="P162">
        <f>I162</f>
        <v/>
      </c>
      <c r="Q162">
        <f>J162</f>
        <v/>
      </c>
      <c r="R162">
        <f>SUM(K162:M162)</f>
        <v/>
      </c>
      <c r="S162">
        <f>SUM(O162:R162)</f>
        <v/>
      </c>
      <c r="T162" s="3">
        <f>IF(S162=0,"",O162/S162)</f>
        <v/>
      </c>
      <c r="U162" s="3">
        <f>IF(S162=0,"",P162/S162)</f>
        <v/>
      </c>
      <c r="V162" s="3">
        <f>IF(S162=0,"",Q162/S162)</f>
        <v/>
      </c>
      <c r="W162" s="3">
        <f>IF(S162=0,"",R162/S162)</f>
        <v/>
      </c>
      <c r="X162" s="4">
        <f>IF(S162=0,"",T162*Pesos!$B$2+U162*Pesos!$B$3+V162*Pesos!$B$4+W162*Pesos!$B$5)</f>
        <v/>
      </c>
    </row>
    <row r="163">
      <c r="A163" s="2" t="n">
        <v>162</v>
      </c>
      <c r="B163" t="n">
        <v>11</v>
      </c>
      <c r="C163" t="n">
        <v>395</v>
      </c>
      <c r="D163" t="n">
        <v>535</v>
      </c>
      <c r="E163" t="n">
        <v>290</v>
      </c>
      <c r="F163" t="n">
        <v>495</v>
      </c>
      <c r="G163" t="n">
        <v>555</v>
      </c>
      <c r="H163" t="n">
        <v>300</v>
      </c>
      <c r="I163" t="n">
        <v>1435</v>
      </c>
      <c r="J163" t="n">
        <v>1875</v>
      </c>
      <c r="K163" t="n">
        <v>1085</v>
      </c>
      <c r="L163" t="n">
        <v>1225</v>
      </c>
      <c r="M163" t="n">
        <v>2070</v>
      </c>
      <c r="N163" s="6" t="n">
        <v>10265</v>
      </c>
      <c r="O163">
        <f>SUM(C163:H163)</f>
        <v/>
      </c>
      <c r="P163">
        <f>I163</f>
        <v/>
      </c>
      <c r="Q163">
        <f>J163</f>
        <v/>
      </c>
      <c r="R163">
        <f>SUM(K163:M163)</f>
        <v/>
      </c>
      <c r="S163">
        <f>SUM(O163:R163)</f>
        <v/>
      </c>
      <c r="T163" s="3">
        <f>IF(S163=0,"",O163/S163)</f>
        <v/>
      </c>
      <c r="U163" s="3">
        <f>IF(S163=0,"",P163/S163)</f>
        <v/>
      </c>
      <c r="V163" s="3">
        <f>IF(S163=0,"",Q163/S163)</f>
        <v/>
      </c>
      <c r="W163" s="3">
        <f>IF(S163=0,"",R163/S163)</f>
        <v/>
      </c>
      <c r="X163" s="4">
        <f>IF(S163=0,"",T163*Pesos!$B$2+U163*Pesos!$B$3+V163*Pesos!$B$4+W163*Pesos!$B$5)</f>
        <v/>
      </c>
    </row>
    <row r="164">
      <c r="A164" s="2" t="n">
        <v>163</v>
      </c>
      <c r="B164" t="n">
        <v>7</v>
      </c>
      <c r="C164" t="n">
        <v>740</v>
      </c>
      <c r="D164" t="n">
        <v>545</v>
      </c>
      <c r="E164" t="n">
        <v>630</v>
      </c>
      <c r="F164" t="n">
        <v>780</v>
      </c>
      <c r="G164" t="n">
        <v>580</v>
      </c>
      <c r="H164" t="n">
        <v>430</v>
      </c>
      <c r="I164" t="n">
        <v>1365</v>
      </c>
      <c r="J164" t="n">
        <v>1555</v>
      </c>
      <c r="K164" t="n">
        <v>1280</v>
      </c>
      <c r="L164" t="n">
        <v>775</v>
      </c>
      <c r="M164" t="n">
        <v>1090</v>
      </c>
      <c r="N164" s="6" t="n">
        <v>9775</v>
      </c>
      <c r="O164">
        <f>SUM(C164:H164)</f>
        <v/>
      </c>
      <c r="P164">
        <f>I164</f>
        <v/>
      </c>
      <c r="Q164">
        <f>J164</f>
        <v/>
      </c>
      <c r="R164">
        <f>SUM(K164:M164)</f>
        <v/>
      </c>
      <c r="S164">
        <f>SUM(O164:R164)</f>
        <v/>
      </c>
      <c r="T164" s="3">
        <f>IF(S164=0,"",O164/S164)</f>
        <v/>
      </c>
      <c r="U164" s="3">
        <f>IF(S164=0,"",P164/S164)</f>
        <v/>
      </c>
      <c r="V164" s="3">
        <f>IF(S164=0,"",Q164/S164)</f>
        <v/>
      </c>
      <c r="W164" s="3">
        <f>IF(S164=0,"",R164/S164)</f>
        <v/>
      </c>
      <c r="X164" s="4">
        <f>IF(S164=0,"",T164*Pesos!$B$2+U164*Pesos!$B$3+V164*Pesos!$B$4+W164*Pesos!$B$5)</f>
        <v/>
      </c>
    </row>
    <row r="165">
      <c r="A165" s="2" t="n">
        <v>164</v>
      </c>
      <c r="B165" t="n">
        <v>9</v>
      </c>
      <c r="C165" t="n">
        <v>615</v>
      </c>
      <c r="D165" t="n">
        <v>510</v>
      </c>
      <c r="E165" t="n">
        <v>180</v>
      </c>
      <c r="F165" t="n">
        <v>760</v>
      </c>
      <c r="G165" t="n">
        <v>440</v>
      </c>
      <c r="H165" t="n">
        <v>340</v>
      </c>
      <c r="I165" t="n">
        <v>1085</v>
      </c>
      <c r="J165" t="n">
        <v>1900</v>
      </c>
      <c r="K165" t="n">
        <v>1090</v>
      </c>
      <c r="L165" t="n">
        <v>1130</v>
      </c>
      <c r="M165" t="n">
        <v>975</v>
      </c>
      <c r="N165" s="6" t="n">
        <v>9025</v>
      </c>
      <c r="O165">
        <f>SUM(C165:H165)</f>
        <v/>
      </c>
      <c r="P165">
        <f>I165</f>
        <v/>
      </c>
      <c r="Q165">
        <f>J165</f>
        <v/>
      </c>
      <c r="R165">
        <f>SUM(K165:M165)</f>
        <v/>
      </c>
      <c r="S165">
        <f>SUM(O165:R165)</f>
        <v/>
      </c>
      <c r="T165" s="3">
        <f>IF(S165=0,"",O165/S165)</f>
        <v/>
      </c>
      <c r="U165" s="3">
        <f>IF(S165=0,"",P165/S165)</f>
        <v/>
      </c>
      <c r="V165" s="3">
        <f>IF(S165=0,"",Q165/S165)</f>
        <v/>
      </c>
      <c r="W165" s="3">
        <f>IF(S165=0,"",R165/S165)</f>
        <v/>
      </c>
      <c r="X165" s="4">
        <f>IF(S165=0,"",T165*Pesos!$B$2+U165*Pesos!$B$3+V165*Pesos!$B$4+W165*Pesos!$B$5)</f>
        <v/>
      </c>
    </row>
    <row r="166">
      <c r="A166" s="2" t="n">
        <v>165</v>
      </c>
      <c r="B166" t="n">
        <v>8</v>
      </c>
      <c r="C166" t="n">
        <v>210</v>
      </c>
      <c r="D166" t="n">
        <v>820</v>
      </c>
      <c r="E166" t="n">
        <v>765</v>
      </c>
      <c r="F166" t="n">
        <v>365</v>
      </c>
      <c r="G166" t="n">
        <v>190</v>
      </c>
      <c r="H166" t="n">
        <v>340</v>
      </c>
      <c r="I166" t="n">
        <v>1295</v>
      </c>
      <c r="J166" t="n">
        <v>1590</v>
      </c>
      <c r="K166" t="n">
        <v>840</v>
      </c>
      <c r="L166" t="n">
        <v>700</v>
      </c>
      <c r="M166" t="n">
        <v>935</v>
      </c>
      <c r="N166" s="6" t="n">
        <v>8055</v>
      </c>
      <c r="O166">
        <f>SUM(C166:H166)</f>
        <v/>
      </c>
      <c r="P166">
        <f>I166</f>
        <v/>
      </c>
      <c r="Q166">
        <f>J166</f>
        <v/>
      </c>
      <c r="R166">
        <f>SUM(K166:M166)</f>
        <v/>
      </c>
      <c r="S166">
        <f>SUM(O166:R166)</f>
        <v/>
      </c>
      <c r="T166" s="3">
        <f>IF(S166=0,"",O166/S166)</f>
        <v/>
      </c>
      <c r="U166" s="3">
        <f>IF(S166=0,"",P166/S166)</f>
        <v/>
      </c>
      <c r="V166" s="3">
        <f>IF(S166=0,"",Q166/S166)</f>
        <v/>
      </c>
      <c r="W166" s="3">
        <f>IF(S166=0,"",R166/S166)</f>
        <v/>
      </c>
      <c r="X166" s="4">
        <f>IF(S166=0,"",T166*Pesos!$B$2+U166*Pesos!$B$3+V166*Pesos!$B$4+W166*Pesos!$B$5)</f>
        <v/>
      </c>
    </row>
    <row r="167">
      <c r="A167" s="2" t="n">
        <v>166</v>
      </c>
      <c r="B167" t="n">
        <v>9</v>
      </c>
      <c r="C167" t="n">
        <v>500</v>
      </c>
      <c r="D167" t="n">
        <v>890</v>
      </c>
      <c r="E167" t="n">
        <v>410</v>
      </c>
      <c r="F167" t="n">
        <v>510</v>
      </c>
      <c r="G167" t="n">
        <v>450</v>
      </c>
      <c r="H167" t="n">
        <v>500</v>
      </c>
      <c r="I167" t="n">
        <v>1055</v>
      </c>
      <c r="J167" t="n">
        <v>2005</v>
      </c>
      <c r="K167" t="n">
        <v>1060</v>
      </c>
      <c r="L167" t="n">
        <v>880</v>
      </c>
      <c r="M167" t="n">
        <v>985</v>
      </c>
      <c r="N167" s="6" t="n">
        <v>9240</v>
      </c>
      <c r="O167">
        <f>SUM(C167:H167)</f>
        <v/>
      </c>
      <c r="P167">
        <f>I167</f>
        <v/>
      </c>
      <c r="Q167">
        <f>J167</f>
        <v/>
      </c>
      <c r="R167">
        <f>SUM(K167:M167)</f>
        <v/>
      </c>
      <c r="S167">
        <f>SUM(O167:R167)</f>
        <v/>
      </c>
      <c r="T167" s="3">
        <f>IF(S167=0,"",O167/S167)</f>
        <v/>
      </c>
      <c r="U167" s="3">
        <f>IF(S167=0,"",P167/S167)</f>
        <v/>
      </c>
      <c r="V167" s="3">
        <f>IF(S167=0,"",Q167/S167)</f>
        <v/>
      </c>
      <c r="W167" s="3">
        <f>IF(S167=0,"",R167/S167)</f>
        <v/>
      </c>
      <c r="X167" s="4">
        <f>IF(S167=0,"",T167*Pesos!$B$2+U167*Pesos!$B$3+V167*Pesos!$B$4+W167*Pesos!$B$5)</f>
        <v/>
      </c>
    </row>
    <row r="168">
      <c r="A168" s="2" t="n">
        <v>167</v>
      </c>
      <c r="B168" t="n">
        <v>7</v>
      </c>
      <c r="C168" t="n">
        <v>575</v>
      </c>
      <c r="D168" t="n">
        <v>760</v>
      </c>
      <c r="E168" t="n">
        <v>390</v>
      </c>
      <c r="F168" t="n">
        <v>605</v>
      </c>
      <c r="G168" t="n">
        <v>515</v>
      </c>
      <c r="H168" t="n">
        <v>640</v>
      </c>
      <c r="I168" t="n">
        <v>860</v>
      </c>
      <c r="J168" t="n">
        <v>1730</v>
      </c>
      <c r="K168" t="n">
        <v>1020</v>
      </c>
      <c r="L168" t="n">
        <v>815</v>
      </c>
      <c r="M168" t="n">
        <v>770</v>
      </c>
      <c r="N168" s="6" t="n">
        <v>8690</v>
      </c>
      <c r="O168">
        <f>SUM(C168:H168)</f>
        <v/>
      </c>
      <c r="P168">
        <f>I168</f>
        <v/>
      </c>
      <c r="Q168">
        <f>J168</f>
        <v/>
      </c>
      <c r="R168">
        <f>SUM(K168:M168)</f>
        <v/>
      </c>
      <c r="S168">
        <f>SUM(O168:R168)</f>
        <v/>
      </c>
      <c r="T168" s="3">
        <f>IF(S168=0,"",O168/S168)</f>
        <v/>
      </c>
      <c r="U168" s="3">
        <f>IF(S168=0,"",P168/S168)</f>
        <v/>
      </c>
      <c r="V168" s="3">
        <f>IF(S168=0,"",Q168/S168)</f>
        <v/>
      </c>
      <c r="W168" s="3">
        <f>IF(S168=0,"",R168/S168)</f>
        <v/>
      </c>
      <c r="X168" s="4">
        <f>IF(S168=0,"",T168*Pesos!$B$2+U168*Pesos!$B$3+V168*Pesos!$B$4+W168*Pesos!$B$5)</f>
        <v/>
      </c>
    </row>
    <row r="169">
      <c r="A169" s="2" t="n">
        <v>168</v>
      </c>
      <c r="B169" t="n">
        <v>8</v>
      </c>
      <c r="C169" t="n">
        <v>790</v>
      </c>
      <c r="D169" t="n">
        <v>970</v>
      </c>
      <c r="E169" t="n">
        <v>505</v>
      </c>
      <c r="F169" t="n">
        <v>375</v>
      </c>
      <c r="G169" t="n">
        <v>305</v>
      </c>
      <c r="H169" t="n">
        <v>175</v>
      </c>
      <c r="I169" t="n">
        <v>1135</v>
      </c>
      <c r="J169" t="n">
        <v>1640</v>
      </c>
      <c r="K169" t="n">
        <v>1145</v>
      </c>
      <c r="L169" t="n">
        <v>775</v>
      </c>
      <c r="M169" t="n">
        <v>825</v>
      </c>
      <c r="N169" s="6" t="n">
        <v>8645</v>
      </c>
      <c r="O169">
        <f>SUM(C169:H169)</f>
        <v/>
      </c>
      <c r="P169">
        <f>I169</f>
        <v/>
      </c>
      <c r="Q169">
        <f>J169</f>
        <v/>
      </c>
      <c r="R169">
        <f>SUM(K169:M169)</f>
        <v/>
      </c>
      <c r="S169">
        <f>SUM(O169:R169)</f>
        <v/>
      </c>
      <c r="T169" s="3">
        <f>IF(S169=0,"",O169/S169)</f>
        <v/>
      </c>
      <c r="U169" s="3">
        <f>IF(S169=0,"",P169/S169)</f>
        <v/>
      </c>
      <c r="V169" s="3">
        <f>IF(S169=0,"",Q169/S169)</f>
        <v/>
      </c>
      <c r="W169" s="3">
        <f>IF(S169=0,"",R169/S169)</f>
        <v/>
      </c>
      <c r="X169" s="4">
        <f>IF(S169=0,"",T169*Pesos!$B$2+U169*Pesos!$B$3+V169*Pesos!$B$4+W169*Pesos!$B$5)</f>
        <v/>
      </c>
    </row>
    <row r="170">
      <c r="A170" s="2" t="n">
        <v>169</v>
      </c>
      <c r="B170" t="n">
        <v>8</v>
      </c>
      <c r="C170" t="n">
        <v>805</v>
      </c>
      <c r="D170" t="n">
        <v>995</v>
      </c>
      <c r="E170" t="n">
        <v>775</v>
      </c>
      <c r="F170" t="n">
        <v>395</v>
      </c>
      <c r="G170" t="n">
        <v>435</v>
      </c>
      <c r="H170" t="n">
        <v>415</v>
      </c>
      <c r="I170" t="n">
        <v>1215</v>
      </c>
      <c r="J170" t="n">
        <v>2040</v>
      </c>
      <c r="K170" t="n">
        <v>1910</v>
      </c>
      <c r="L170" t="n">
        <v>1420</v>
      </c>
      <c r="M170" t="n">
        <v>1615</v>
      </c>
      <c r="N170" s="6" t="n">
        <v>12025</v>
      </c>
      <c r="O170">
        <f>SUM(C170:H170)</f>
        <v/>
      </c>
      <c r="P170">
        <f>I170</f>
        <v/>
      </c>
      <c r="Q170">
        <f>J170</f>
        <v/>
      </c>
      <c r="R170">
        <f>SUM(K170:M170)</f>
        <v/>
      </c>
      <c r="S170">
        <f>SUM(O170:R170)</f>
        <v/>
      </c>
      <c r="T170" s="3">
        <f>IF(S170=0,"",O170/S170)</f>
        <v/>
      </c>
      <c r="U170" s="3">
        <f>IF(S170=0,"",P170/S170)</f>
        <v/>
      </c>
      <c r="V170" s="3">
        <f>IF(S170=0,"",Q170/S170)</f>
        <v/>
      </c>
      <c r="W170" s="3">
        <f>IF(S170=0,"",R170/S170)</f>
        <v/>
      </c>
      <c r="X170" s="4">
        <f>IF(S170=0,"",T170*Pesos!$B$2+U170*Pesos!$B$3+V170*Pesos!$B$4+W170*Pesos!$B$5)</f>
        <v/>
      </c>
    </row>
    <row r="171">
      <c r="A171" s="2" t="n">
        <v>170</v>
      </c>
      <c r="B171" t="n">
        <v>9</v>
      </c>
      <c r="C171" t="n">
        <v>1295</v>
      </c>
      <c r="D171" t="n">
        <v>1020</v>
      </c>
      <c r="E171" t="n">
        <v>595</v>
      </c>
      <c r="F171" t="n">
        <v>540</v>
      </c>
      <c r="G171" t="n">
        <v>450</v>
      </c>
      <c r="H171" t="n">
        <v>245</v>
      </c>
      <c r="I171" t="n">
        <v>1355</v>
      </c>
      <c r="J171" t="n">
        <v>2515</v>
      </c>
      <c r="K171" t="n">
        <v>1365</v>
      </c>
      <c r="L171" t="n">
        <v>1670</v>
      </c>
      <c r="M171" t="n">
        <v>1310</v>
      </c>
      <c r="N171" s="6" t="n">
        <v>12355</v>
      </c>
      <c r="O171">
        <f>SUM(C171:H171)</f>
        <v/>
      </c>
      <c r="P171">
        <f>I171</f>
        <v/>
      </c>
      <c r="Q171">
        <f>J171</f>
        <v/>
      </c>
      <c r="R171">
        <f>SUM(K171:M171)</f>
        <v/>
      </c>
      <c r="S171">
        <f>SUM(O171:R171)</f>
        <v/>
      </c>
      <c r="T171" s="3">
        <f>IF(S171=0,"",O171/S171)</f>
        <v/>
      </c>
      <c r="U171" s="3">
        <f>IF(S171=0,"",P171/S171)</f>
        <v/>
      </c>
      <c r="V171" s="3">
        <f>IF(S171=0,"",Q171/S171)</f>
        <v/>
      </c>
      <c r="W171" s="3">
        <f>IF(S171=0,"",R171/S171)</f>
        <v/>
      </c>
      <c r="X171" s="4">
        <f>IF(S171=0,"",T171*Pesos!$B$2+U171*Pesos!$B$3+V171*Pesos!$B$4+W171*Pesos!$B$5)</f>
        <v/>
      </c>
    </row>
    <row r="172">
      <c r="A172" s="2" t="n">
        <v>171</v>
      </c>
      <c r="B172" t="n">
        <v>10</v>
      </c>
      <c r="C172" t="n">
        <v>795</v>
      </c>
      <c r="D172" t="n">
        <v>1040</v>
      </c>
      <c r="E172" t="n">
        <v>485</v>
      </c>
      <c r="F172" t="n">
        <v>435</v>
      </c>
      <c r="G172" t="n">
        <v>445</v>
      </c>
      <c r="H172" t="n">
        <v>540</v>
      </c>
      <c r="I172" t="n">
        <v>2320</v>
      </c>
      <c r="J172" t="n">
        <v>3135</v>
      </c>
      <c r="K172" t="n">
        <v>3020</v>
      </c>
      <c r="L172" t="n">
        <v>1140</v>
      </c>
      <c r="M172" t="n">
        <v>1120</v>
      </c>
      <c r="N172" s="6" t="n">
        <v>14475</v>
      </c>
      <c r="O172">
        <f>SUM(C172:H172)</f>
        <v/>
      </c>
      <c r="P172">
        <f>I172</f>
        <v/>
      </c>
      <c r="Q172">
        <f>J172</f>
        <v/>
      </c>
      <c r="R172">
        <f>SUM(K172:M172)</f>
        <v/>
      </c>
      <c r="S172">
        <f>SUM(O172:R172)</f>
        <v/>
      </c>
      <c r="T172" s="3">
        <f>IF(S172=0,"",O172/S172)</f>
        <v/>
      </c>
      <c r="U172" s="3">
        <f>IF(S172=0,"",P172/S172)</f>
        <v/>
      </c>
      <c r="V172" s="3">
        <f>IF(S172=0,"",Q172/S172)</f>
        <v/>
      </c>
      <c r="W172" s="3">
        <f>IF(S172=0,"",R172/S172)</f>
        <v/>
      </c>
      <c r="X172" s="4">
        <f>IF(S172=0,"",T172*Pesos!$B$2+U172*Pesos!$B$3+V172*Pesos!$B$4+W172*Pesos!$B$5)</f>
        <v/>
      </c>
    </row>
    <row r="173">
      <c r="A173" s="2" t="n">
        <v>172</v>
      </c>
      <c r="B173" t="n">
        <v>9</v>
      </c>
      <c r="C173" t="n">
        <v>1130</v>
      </c>
      <c r="D173" t="n">
        <v>845</v>
      </c>
      <c r="E173" t="n">
        <v>885</v>
      </c>
      <c r="F173" t="n">
        <v>590</v>
      </c>
      <c r="G173" t="n">
        <v>385</v>
      </c>
      <c r="H173" t="n">
        <v>590</v>
      </c>
      <c r="I173" t="n">
        <v>2110</v>
      </c>
      <c r="J173" t="n">
        <v>1990</v>
      </c>
      <c r="K173" t="n">
        <v>1670</v>
      </c>
      <c r="L173" t="n">
        <v>1305</v>
      </c>
      <c r="M173" t="n">
        <v>1870</v>
      </c>
      <c r="N173" s="6" t="n">
        <v>13370</v>
      </c>
      <c r="O173">
        <f>SUM(C173:H173)</f>
        <v/>
      </c>
      <c r="P173">
        <f>I173</f>
        <v/>
      </c>
      <c r="Q173">
        <f>J173</f>
        <v/>
      </c>
      <c r="R173">
        <f>SUM(K173:M173)</f>
        <v/>
      </c>
      <c r="S173">
        <f>SUM(O173:R173)</f>
        <v/>
      </c>
      <c r="T173" s="3">
        <f>IF(S173=0,"",O173/S173)</f>
        <v/>
      </c>
      <c r="U173" s="3">
        <f>IF(S173=0,"",P173/S173)</f>
        <v/>
      </c>
      <c r="V173" s="3">
        <f>IF(S173=0,"",Q173/S173)</f>
        <v/>
      </c>
      <c r="W173" s="3">
        <f>IF(S173=0,"",R173/S173)</f>
        <v/>
      </c>
      <c r="X173" s="4">
        <f>IF(S173=0,"",T173*Pesos!$B$2+U173*Pesos!$B$3+V173*Pesos!$B$4+W173*Pesos!$B$5)</f>
        <v/>
      </c>
    </row>
    <row r="174">
      <c r="A174" s="2" t="n">
        <v>173</v>
      </c>
      <c r="B174" t="n">
        <v>12</v>
      </c>
      <c r="C174" t="n">
        <v>830</v>
      </c>
      <c r="D174" t="n">
        <v>1110</v>
      </c>
      <c r="E174" t="n">
        <v>1060</v>
      </c>
      <c r="F174" t="n">
        <v>655</v>
      </c>
      <c r="G174" t="n">
        <v>785</v>
      </c>
      <c r="H174" t="n">
        <v>1040</v>
      </c>
      <c r="I174" t="n">
        <v>2805</v>
      </c>
      <c r="J174" t="n">
        <v>3065</v>
      </c>
      <c r="K174" t="n">
        <v>2780</v>
      </c>
      <c r="L174" t="n">
        <v>1175</v>
      </c>
      <c r="M174" t="n">
        <v>1920</v>
      </c>
      <c r="N174" s="6" t="n">
        <v>17225</v>
      </c>
      <c r="O174">
        <f>SUM(C174:H174)</f>
        <v/>
      </c>
      <c r="P174">
        <f>I174</f>
        <v/>
      </c>
      <c r="Q174">
        <f>J174</f>
        <v/>
      </c>
      <c r="R174">
        <f>SUM(K174:M174)</f>
        <v/>
      </c>
      <c r="S174">
        <f>SUM(O174:R174)</f>
        <v/>
      </c>
      <c r="T174" s="3">
        <f>IF(S174=0,"",O174/S174)</f>
        <v/>
      </c>
      <c r="U174" s="3">
        <f>IF(S174=0,"",P174/S174)</f>
        <v/>
      </c>
      <c r="V174" s="3">
        <f>IF(S174=0,"",Q174/S174)</f>
        <v/>
      </c>
      <c r="W174" s="3">
        <f>IF(S174=0,"",R174/S174)</f>
        <v/>
      </c>
      <c r="X174" s="4">
        <f>IF(S174=0,"",T174*Pesos!$B$2+U174*Pesos!$B$3+V174*Pesos!$B$4+W174*Pesos!$B$5)</f>
        <v/>
      </c>
    </row>
    <row r="175">
      <c r="A175" s="2" t="n">
        <v>174</v>
      </c>
      <c r="B175" t="n">
        <v>7</v>
      </c>
      <c r="C175" t="n">
        <v>815</v>
      </c>
      <c r="D175" t="n">
        <v>1295</v>
      </c>
      <c r="E175" t="n">
        <v>745</v>
      </c>
      <c r="F175" t="n">
        <v>650</v>
      </c>
      <c r="G175" t="n">
        <v>500</v>
      </c>
      <c r="H175" t="n">
        <v>785</v>
      </c>
      <c r="I175" t="n">
        <v>1485</v>
      </c>
      <c r="J175" t="n">
        <v>1830</v>
      </c>
      <c r="K175" t="n">
        <v>760</v>
      </c>
      <c r="L175" t="n">
        <v>570</v>
      </c>
      <c r="M175" t="n">
        <v>1070</v>
      </c>
      <c r="N175" s="6" t="n">
        <v>10500</v>
      </c>
      <c r="O175">
        <f>SUM(C175:H175)</f>
        <v/>
      </c>
      <c r="P175">
        <f>I175</f>
        <v/>
      </c>
      <c r="Q175">
        <f>J175</f>
        <v/>
      </c>
      <c r="R175">
        <f>SUM(K175:M175)</f>
        <v/>
      </c>
      <c r="S175">
        <f>SUM(O175:R175)</f>
        <v/>
      </c>
      <c r="T175" s="3">
        <f>IF(S175=0,"",O175/S175)</f>
        <v/>
      </c>
      <c r="U175" s="3">
        <f>IF(S175=0,"",P175/S175)</f>
        <v/>
      </c>
      <c r="V175" s="3">
        <f>IF(S175=0,"",Q175/S175)</f>
        <v/>
      </c>
      <c r="W175" s="3">
        <f>IF(S175=0,"",R175/S175)</f>
        <v/>
      </c>
      <c r="X175" s="4">
        <f>IF(S175=0,"",T175*Pesos!$B$2+U175*Pesos!$B$3+V175*Pesos!$B$4+W175*Pesos!$B$5)</f>
        <v/>
      </c>
    </row>
    <row r="176">
      <c r="A176" s="2" t="n">
        <v>175</v>
      </c>
      <c r="B176" t="n">
        <v>7</v>
      </c>
      <c r="C176" t="n">
        <v>445</v>
      </c>
      <c r="D176" t="n">
        <v>595</v>
      </c>
      <c r="E176" t="n">
        <v>755</v>
      </c>
      <c r="F176" t="n">
        <v>515</v>
      </c>
      <c r="G176" t="n">
        <v>380</v>
      </c>
      <c r="H176" t="n">
        <v>690</v>
      </c>
      <c r="I176" t="n">
        <v>940</v>
      </c>
      <c r="J176" t="n">
        <v>1820</v>
      </c>
      <c r="K176" t="n">
        <v>1130</v>
      </c>
      <c r="L176" t="n">
        <v>860</v>
      </c>
      <c r="M176" t="n">
        <v>810</v>
      </c>
      <c r="N176" s="6" t="n">
        <v>8940</v>
      </c>
      <c r="O176">
        <f>SUM(C176:H176)</f>
        <v/>
      </c>
      <c r="P176">
        <f>I176</f>
        <v/>
      </c>
      <c r="Q176">
        <f>J176</f>
        <v/>
      </c>
      <c r="R176">
        <f>SUM(K176:M176)</f>
        <v/>
      </c>
      <c r="S176">
        <f>SUM(O176:R176)</f>
        <v/>
      </c>
      <c r="T176" s="3">
        <f>IF(S176=0,"",O176/S176)</f>
        <v/>
      </c>
      <c r="U176" s="3">
        <f>IF(S176=0,"",P176/S176)</f>
        <v/>
      </c>
      <c r="V176" s="3">
        <f>IF(S176=0,"",Q176/S176)</f>
        <v/>
      </c>
      <c r="W176" s="3">
        <f>IF(S176=0,"",R176/S176)</f>
        <v/>
      </c>
      <c r="X176" s="4">
        <f>IF(S176=0,"",T176*Pesos!$B$2+U176*Pesos!$B$3+V176*Pesos!$B$4+W176*Pesos!$B$5)</f>
        <v/>
      </c>
    </row>
    <row r="177">
      <c r="A177" s="2" t="n">
        <v>176</v>
      </c>
      <c r="B177" t="n">
        <v>8</v>
      </c>
      <c r="C177" t="n">
        <v>810</v>
      </c>
      <c r="D177" t="n">
        <v>595</v>
      </c>
      <c r="E177" t="n">
        <v>425</v>
      </c>
      <c r="F177" t="n">
        <v>500</v>
      </c>
      <c r="G177" t="n">
        <v>500</v>
      </c>
      <c r="H177" t="n">
        <v>465</v>
      </c>
      <c r="I177" t="n">
        <v>1395</v>
      </c>
      <c r="J177" t="n">
        <v>775</v>
      </c>
      <c r="K177" t="n">
        <v>955</v>
      </c>
      <c r="L177" t="n">
        <v>720</v>
      </c>
      <c r="M177" t="n">
        <v>720</v>
      </c>
      <c r="N177" s="6" t="n">
        <v>7860</v>
      </c>
      <c r="O177">
        <f>SUM(C177:H177)</f>
        <v/>
      </c>
      <c r="P177">
        <f>I177</f>
        <v/>
      </c>
      <c r="Q177">
        <f>J177</f>
        <v/>
      </c>
      <c r="R177">
        <f>SUM(K177:M177)</f>
        <v/>
      </c>
      <c r="S177">
        <f>SUM(O177:R177)</f>
        <v/>
      </c>
      <c r="T177" s="3">
        <f>IF(S177=0,"",O177/S177)</f>
        <v/>
      </c>
      <c r="U177" s="3">
        <f>IF(S177=0,"",P177/S177)</f>
        <v/>
      </c>
      <c r="V177" s="3">
        <f>IF(S177=0,"",Q177/S177)</f>
        <v/>
      </c>
      <c r="W177" s="3">
        <f>IF(S177=0,"",R177/S177)</f>
        <v/>
      </c>
      <c r="X177" s="4">
        <f>IF(S177=0,"",T177*Pesos!$B$2+U177*Pesos!$B$3+V177*Pesos!$B$4+W177*Pesos!$B$5)</f>
        <v/>
      </c>
    </row>
    <row r="178">
      <c r="A178" s="2" t="n">
        <v>177</v>
      </c>
      <c r="B178" t="n">
        <v>7</v>
      </c>
      <c r="C178" t="n">
        <v>515</v>
      </c>
      <c r="D178" t="n">
        <v>770</v>
      </c>
      <c r="E178" t="n">
        <v>430</v>
      </c>
      <c r="F178" t="n">
        <v>465</v>
      </c>
      <c r="G178" t="n">
        <v>440</v>
      </c>
      <c r="H178" t="n">
        <v>455</v>
      </c>
      <c r="I178" t="n">
        <v>1145</v>
      </c>
      <c r="J178" t="n">
        <v>1195</v>
      </c>
      <c r="K178" t="n">
        <v>1110</v>
      </c>
      <c r="L178" t="n">
        <v>1035</v>
      </c>
      <c r="M178" t="n">
        <v>695</v>
      </c>
      <c r="N178" s="6" t="n">
        <v>8260</v>
      </c>
      <c r="O178">
        <f>SUM(C178:H178)</f>
        <v/>
      </c>
      <c r="P178">
        <f>I178</f>
        <v/>
      </c>
      <c r="Q178">
        <f>J178</f>
        <v/>
      </c>
      <c r="R178">
        <f>SUM(K178:M178)</f>
        <v/>
      </c>
      <c r="S178">
        <f>SUM(O178:R178)</f>
        <v/>
      </c>
      <c r="T178" s="3">
        <f>IF(S178=0,"",O178/S178)</f>
        <v/>
      </c>
      <c r="U178" s="3">
        <f>IF(S178=0,"",P178/S178)</f>
        <v/>
      </c>
      <c r="V178" s="3">
        <f>IF(S178=0,"",Q178/S178)</f>
        <v/>
      </c>
      <c r="W178" s="3">
        <f>IF(S178=0,"",R178/S178)</f>
        <v/>
      </c>
      <c r="X178" s="4">
        <f>IF(S178=0,"",T178*Pesos!$B$2+U178*Pesos!$B$3+V178*Pesos!$B$4+W178*Pesos!$B$5)</f>
        <v/>
      </c>
    </row>
    <row r="179">
      <c r="A179" s="2" t="n">
        <v>178</v>
      </c>
      <c r="B179" t="n">
        <v>7</v>
      </c>
      <c r="C179" t="n">
        <v>160</v>
      </c>
      <c r="D179" t="n">
        <v>360</v>
      </c>
      <c r="E179" t="n">
        <v>360</v>
      </c>
      <c r="F179" t="n">
        <v>580</v>
      </c>
      <c r="G179" t="n">
        <v>275</v>
      </c>
      <c r="H179" t="n">
        <v>285</v>
      </c>
      <c r="I179" t="n">
        <v>1035</v>
      </c>
      <c r="J179" t="n">
        <v>1415</v>
      </c>
      <c r="K179" t="n">
        <v>1225</v>
      </c>
      <c r="L179" t="n">
        <v>725</v>
      </c>
      <c r="M179" t="n">
        <v>890</v>
      </c>
      <c r="N179" s="6" t="n">
        <v>7310</v>
      </c>
      <c r="O179">
        <f>SUM(C179:H179)</f>
        <v/>
      </c>
      <c r="P179">
        <f>I179</f>
        <v/>
      </c>
      <c r="Q179">
        <f>J179</f>
        <v/>
      </c>
      <c r="R179">
        <f>SUM(K179:M179)</f>
        <v/>
      </c>
      <c r="S179">
        <f>SUM(O179:R179)</f>
        <v/>
      </c>
      <c r="T179" s="3">
        <f>IF(S179=0,"",O179/S179)</f>
        <v/>
      </c>
      <c r="U179" s="3">
        <f>IF(S179=0,"",P179/S179)</f>
        <v/>
      </c>
      <c r="V179" s="3">
        <f>IF(S179=0,"",Q179/S179)</f>
        <v/>
      </c>
      <c r="W179" s="3">
        <f>IF(S179=0,"",R179/S179)</f>
        <v/>
      </c>
      <c r="X179" s="4">
        <f>IF(S179=0,"",T179*Pesos!$B$2+U179*Pesos!$B$3+V179*Pesos!$B$4+W179*Pesos!$B$5)</f>
        <v/>
      </c>
    </row>
    <row r="180">
      <c r="A180" s="2" t="n">
        <v>179</v>
      </c>
      <c r="B180" t="n">
        <v>8</v>
      </c>
      <c r="C180" t="n">
        <v>515</v>
      </c>
      <c r="D180" t="n">
        <v>865</v>
      </c>
      <c r="E180" t="n">
        <v>545</v>
      </c>
      <c r="F180" t="n">
        <v>455</v>
      </c>
      <c r="G180" t="n">
        <v>455</v>
      </c>
      <c r="H180" t="n">
        <v>370</v>
      </c>
      <c r="I180" t="n">
        <v>715</v>
      </c>
      <c r="J180" t="n">
        <v>1315</v>
      </c>
      <c r="K180" t="n">
        <v>905</v>
      </c>
      <c r="L180" t="n">
        <v>880</v>
      </c>
      <c r="M180" t="n">
        <v>1320</v>
      </c>
      <c r="N180" s="6" t="n">
        <v>8350</v>
      </c>
      <c r="O180">
        <f>SUM(C180:H180)</f>
        <v/>
      </c>
      <c r="P180">
        <f>I180</f>
        <v/>
      </c>
      <c r="Q180">
        <f>J180</f>
        <v/>
      </c>
      <c r="R180">
        <f>SUM(K180:M180)</f>
        <v/>
      </c>
      <c r="S180">
        <f>SUM(O180:R180)</f>
        <v/>
      </c>
      <c r="T180" s="3">
        <f>IF(S180=0,"",O180/S180)</f>
        <v/>
      </c>
      <c r="U180" s="3">
        <f>IF(S180=0,"",P180/S180)</f>
        <v/>
      </c>
      <c r="V180" s="3">
        <f>IF(S180=0,"",Q180/S180)</f>
        <v/>
      </c>
      <c r="W180" s="3">
        <f>IF(S180=0,"",R180/S180)</f>
        <v/>
      </c>
      <c r="X180" s="4">
        <f>IF(S180=0,"",T180*Pesos!$B$2+U180*Pesos!$B$3+V180*Pesos!$B$4+W180*Pesos!$B$5)</f>
        <v/>
      </c>
    </row>
    <row r="181">
      <c r="A181" s="2" t="n">
        <v>180</v>
      </c>
      <c r="B181" t="n">
        <v>7</v>
      </c>
      <c r="C181" t="n">
        <v>645</v>
      </c>
      <c r="D181" t="n">
        <v>965</v>
      </c>
      <c r="E181" t="n">
        <v>660</v>
      </c>
      <c r="F181" t="n">
        <v>265</v>
      </c>
      <c r="G181" t="n">
        <v>315</v>
      </c>
      <c r="H181" t="n">
        <v>455</v>
      </c>
      <c r="I181" t="n">
        <v>1345</v>
      </c>
      <c r="J181" t="n">
        <v>1730</v>
      </c>
      <c r="K181" t="n">
        <v>1075</v>
      </c>
      <c r="L181" t="n">
        <v>1040</v>
      </c>
      <c r="M181" t="n">
        <v>985</v>
      </c>
      <c r="N181" s="6" t="n">
        <v>9470</v>
      </c>
      <c r="O181">
        <f>SUM(C181:H181)</f>
        <v/>
      </c>
      <c r="P181">
        <f>I181</f>
        <v/>
      </c>
      <c r="Q181">
        <f>J181</f>
        <v/>
      </c>
      <c r="R181">
        <f>SUM(K181:M181)</f>
        <v/>
      </c>
      <c r="S181">
        <f>SUM(O181:R181)</f>
        <v/>
      </c>
      <c r="T181" s="3">
        <f>IF(S181=0,"",O181/S181)</f>
        <v/>
      </c>
      <c r="U181" s="3">
        <f>IF(S181=0,"",P181/S181)</f>
        <v/>
      </c>
      <c r="V181" s="3">
        <f>IF(S181=0,"",Q181/S181)</f>
        <v/>
      </c>
      <c r="W181" s="3">
        <f>IF(S181=0,"",R181/S181)</f>
        <v/>
      </c>
      <c r="X181" s="4">
        <f>IF(S181=0,"",T181*Pesos!$B$2+U181*Pesos!$B$3+V181*Pesos!$B$4+W181*Pesos!$B$5)</f>
        <v/>
      </c>
    </row>
    <row r="182">
      <c r="A182" s="2" t="n">
        <v>181</v>
      </c>
      <c r="B182" t="n">
        <v>7</v>
      </c>
      <c r="C182" t="n">
        <v>1000</v>
      </c>
      <c r="D182" t="n">
        <v>820</v>
      </c>
      <c r="E182" t="n">
        <v>1160</v>
      </c>
      <c r="F182" t="n">
        <v>415</v>
      </c>
      <c r="G182" t="n">
        <v>560</v>
      </c>
      <c r="H182" t="n">
        <v>355</v>
      </c>
      <c r="I182" t="n">
        <v>1055</v>
      </c>
      <c r="J182" t="n">
        <v>1140</v>
      </c>
      <c r="K182" t="n">
        <v>730</v>
      </c>
      <c r="L182" t="n">
        <v>775</v>
      </c>
      <c r="M182" t="n">
        <v>1115</v>
      </c>
      <c r="N182" s="6" t="n">
        <v>9130</v>
      </c>
      <c r="O182">
        <f>SUM(C182:H182)</f>
        <v/>
      </c>
      <c r="P182">
        <f>I182</f>
        <v/>
      </c>
      <c r="Q182">
        <f>J182</f>
        <v/>
      </c>
      <c r="R182">
        <f>SUM(K182:M182)</f>
        <v/>
      </c>
      <c r="S182">
        <f>SUM(O182:R182)</f>
        <v/>
      </c>
      <c r="T182" s="3">
        <f>IF(S182=0,"",O182/S182)</f>
        <v/>
      </c>
      <c r="U182" s="3">
        <f>IF(S182=0,"",P182/S182)</f>
        <v/>
      </c>
      <c r="V182" s="3">
        <f>IF(S182=0,"",Q182/S182)</f>
        <v/>
      </c>
      <c r="W182" s="3">
        <f>IF(S182=0,"",R182/S182)</f>
        <v/>
      </c>
      <c r="X182" s="4">
        <f>IF(S182=0,"",T182*Pesos!$B$2+U182*Pesos!$B$3+V182*Pesos!$B$4+W182*Pesos!$B$5)</f>
        <v/>
      </c>
    </row>
    <row r="183">
      <c r="A183" s="2" t="n">
        <v>182</v>
      </c>
      <c r="B183" t="n">
        <v>9</v>
      </c>
      <c r="C183" t="n">
        <v>1400</v>
      </c>
      <c r="D183" t="n">
        <v>540</v>
      </c>
      <c r="E183" t="n">
        <v>990</v>
      </c>
      <c r="F183" t="n">
        <v>220</v>
      </c>
      <c r="G183" t="n">
        <v>350</v>
      </c>
      <c r="H183" t="n">
        <v>330</v>
      </c>
      <c r="I183" t="n">
        <v>1320</v>
      </c>
      <c r="J183" t="n">
        <v>1555</v>
      </c>
      <c r="K183" t="n">
        <v>1955</v>
      </c>
      <c r="L183" t="n">
        <v>1195</v>
      </c>
      <c r="M183" t="n">
        <v>980</v>
      </c>
      <c r="N183" s="6" t="n">
        <v>10845</v>
      </c>
      <c r="O183">
        <f>SUM(C183:H183)</f>
        <v/>
      </c>
      <c r="P183">
        <f>I183</f>
        <v/>
      </c>
      <c r="Q183">
        <f>J183</f>
        <v/>
      </c>
      <c r="R183">
        <f>SUM(K183:M183)</f>
        <v/>
      </c>
      <c r="S183">
        <f>SUM(O183:R183)</f>
        <v/>
      </c>
      <c r="T183" s="3">
        <f>IF(S183=0,"",O183/S183)</f>
        <v/>
      </c>
      <c r="U183" s="3">
        <f>IF(S183=0,"",P183/S183)</f>
        <v/>
      </c>
      <c r="V183" s="3">
        <f>IF(S183=0,"",Q183/S183)</f>
        <v/>
      </c>
      <c r="W183" s="3">
        <f>IF(S183=0,"",R183/S183)</f>
        <v/>
      </c>
      <c r="X183" s="4">
        <f>IF(S183=0,"",T183*Pesos!$B$2+U183*Pesos!$B$3+V183*Pesos!$B$4+W183*Pesos!$B$5)</f>
        <v/>
      </c>
    </row>
    <row r="184">
      <c r="A184" s="2" t="n">
        <v>183</v>
      </c>
      <c r="B184" t="n">
        <v>9</v>
      </c>
      <c r="C184" t="n">
        <v>1305</v>
      </c>
      <c r="D184" t="n">
        <v>685</v>
      </c>
      <c r="E184" t="n">
        <v>1095</v>
      </c>
      <c r="F184" t="n">
        <v>850</v>
      </c>
      <c r="G184" t="n">
        <v>610</v>
      </c>
      <c r="H184" t="n">
        <v>1020</v>
      </c>
      <c r="I184" t="n">
        <v>2910</v>
      </c>
      <c r="J184" t="n">
        <v>3400</v>
      </c>
      <c r="K184" t="n">
        <v>845</v>
      </c>
      <c r="L184" t="n">
        <v>495</v>
      </c>
      <c r="M184" t="n">
        <v>890</v>
      </c>
      <c r="N184" s="6" t="n">
        <v>14105</v>
      </c>
      <c r="O184">
        <f>SUM(C184:H184)</f>
        <v/>
      </c>
      <c r="P184">
        <f>I184</f>
        <v/>
      </c>
      <c r="Q184">
        <f>J184</f>
        <v/>
      </c>
      <c r="R184">
        <f>SUM(K184:M184)</f>
        <v/>
      </c>
      <c r="S184">
        <f>SUM(O184:R184)</f>
        <v/>
      </c>
      <c r="T184" s="3">
        <f>IF(S184=0,"",O184/S184)</f>
        <v/>
      </c>
      <c r="U184" s="3">
        <f>IF(S184=0,"",P184/S184)</f>
        <v/>
      </c>
      <c r="V184" s="3">
        <f>IF(S184=0,"",Q184/S184)</f>
        <v/>
      </c>
      <c r="W184" s="3">
        <f>IF(S184=0,"",R184/S184)</f>
        <v/>
      </c>
      <c r="X184" s="4">
        <f>IF(S184=0,"",T184*Pesos!$B$2+U184*Pesos!$B$3+V184*Pesos!$B$4+W184*Pesos!$B$5)</f>
        <v/>
      </c>
    </row>
    <row r="185">
      <c r="A185" s="2" t="n">
        <v>184</v>
      </c>
      <c r="B185" t="n">
        <v>7</v>
      </c>
      <c r="C185" t="n">
        <v>765</v>
      </c>
      <c r="D185" t="n">
        <v>525</v>
      </c>
      <c r="E185" t="n">
        <v>265</v>
      </c>
      <c r="F185" t="n">
        <v>210</v>
      </c>
      <c r="G185" t="n">
        <v>520</v>
      </c>
      <c r="H185" t="n">
        <v>575</v>
      </c>
      <c r="I185" t="n">
        <v>1545</v>
      </c>
      <c r="J185" t="n">
        <v>1000</v>
      </c>
      <c r="K185" t="n">
        <v>840</v>
      </c>
      <c r="L185" t="n">
        <v>460</v>
      </c>
      <c r="M185" t="n">
        <v>935</v>
      </c>
      <c r="N185" s="6" t="n">
        <v>7640</v>
      </c>
      <c r="O185">
        <f>SUM(C185:H185)</f>
        <v/>
      </c>
      <c r="P185">
        <f>I185</f>
        <v/>
      </c>
      <c r="Q185">
        <f>J185</f>
        <v/>
      </c>
      <c r="R185">
        <f>SUM(K185:M185)</f>
        <v/>
      </c>
      <c r="S185">
        <f>SUM(O185:R185)</f>
        <v/>
      </c>
      <c r="T185" s="3">
        <f>IF(S185=0,"",O185/S185)</f>
        <v/>
      </c>
      <c r="U185" s="3">
        <f>IF(S185=0,"",P185/S185)</f>
        <v/>
      </c>
      <c r="V185" s="3">
        <f>IF(S185=0,"",Q185/S185)</f>
        <v/>
      </c>
      <c r="W185" s="3">
        <f>IF(S185=0,"",R185/S185)</f>
        <v/>
      </c>
      <c r="X185" s="4">
        <f>IF(S185=0,"",T185*Pesos!$B$2+U185*Pesos!$B$3+V185*Pesos!$B$4+W185*Pesos!$B$5)</f>
        <v/>
      </c>
    </row>
    <row r="186">
      <c r="A186" s="2" t="n">
        <v>185</v>
      </c>
      <c r="B186" t="n">
        <v>10</v>
      </c>
      <c r="C186" t="n">
        <v>1385</v>
      </c>
      <c r="D186" t="n">
        <v>1940</v>
      </c>
      <c r="E186" t="n">
        <v>1325</v>
      </c>
      <c r="F186" t="n">
        <v>870</v>
      </c>
      <c r="G186" t="n">
        <v>750</v>
      </c>
      <c r="H186" t="n">
        <v>540</v>
      </c>
      <c r="I186" t="n">
        <v>2200</v>
      </c>
      <c r="J186" t="n">
        <v>2520</v>
      </c>
      <c r="K186" t="n">
        <v>1745</v>
      </c>
      <c r="L186" t="n">
        <v>1345</v>
      </c>
      <c r="M186" t="n">
        <v>1445</v>
      </c>
      <c r="N186" s="6" t="n">
        <v>16065</v>
      </c>
      <c r="O186">
        <f>SUM(C186:H186)</f>
        <v/>
      </c>
      <c r="P186">
        <f>I186</f>
        <v/>
      </c>
      <c r="Q186">
        <f>J186</f>
        <v/>
      </c>
      <c r="R186">
        <f>SUM(K186:M186)</f>
        <v/>
      </c>
      <c r="S186">
        <f>SUM(O186:R186)</f>
        <v/>
      </c>
      <c r="T186" s="3">
        <f>IF(S186=0,"",O186/S186)</f>
        <v/>
      </c>
      <c r="U186" s="3">
        <f>IF(S186=0,"",P186/S186)</f>
        <v/>
      </c>
      <c r="V186" s="3">
        <f>IF(S186=0,"",Q186/S186)</f>
        <v/>
      </c>
      <c r="W186" s="3">
        <f>IF(S186=0,"",R186/S186)</f>
        <v/>
      </c>
      <c r="X186" s="4">
        <f>IF(S186=0,"",T186*Pesos!$B$2+U186*Pesos!$B$3+V186*Pesos!$B$4+W186*Pesos!$B$5)</f>
        <v/>
      </c>
    </row>
    <row r="187">
      <c r="A187" s="2" t="n">
        <v>186</v>
      </c>
      <c r="B187" t="n">
        <v>8</v>
      </c>
      <c r="C187" t="n">
        <v>570</v>
      </c>
      <c r="D187" t="n">
        <v>480</v>
      </c>
      <c r="E187" t="n">
        <v>765</v>
      </c>
      <c r="F187" t="n">
        <v>530</v>
      </c>
      <c r="G187" t="n">
        <v>415</v>
      </c>
      <c r="H187" t="n">
        <v>515</v>
      </c>
      <c r="I187" t="n">
        <v>1970</v>
      </c>
      <c r="J187" t="n">
        <v>2425</v>
      </c>
      <c r="K187" t="n">
        <v>775</v>
      </c>
      <c r="L187" t="n">
        <v>575</v>
      </c>
      <c r="M187" t="n">
        <v>920</v>
      </c>
      <c r="N187" s="6" t="n">
        <v>9930</v>
      </c>
      <c r="O187">
        <f>SUM(C187:H187)</f>
        <v/>
      </c>
      <c r="P187">
        <f>I187</f>
        <v/>
      </c>
      <c r="Q187">
        <f>J187</f>
        <v/>
      </c>
      <c r="R187">
        <f>SUM(K187:M187)</f>
        <v/>
      </c>
      <c r="S187">
        <f>SUM(O187:R187)</f>
        <v/>
      </c>
      <c r="T187" s="3">
        <f>IF(S187=0,"",O187/S187)</f>
        <v/>
      </c>
      <c r="U187" s="3">
        <f>IF(S187=0,"",P187/S187)</f>
        <v/>
      </c>
      <c r="V187" s="3">
        <f>IF(S187=0,"",Q187/S187)</f>
        <v/>
      </c>
      <c r="W187" s="3">
        <f>IF(S187=0,"",R187/S187)</f>
        <v/>
      </c>
      <c r="X187" s="4">
        <f>IF(S187=0,"",T187*Pesos!$B$2+U187*Pesos!$B$3+V187*Pesos!$B$4+W187*Pesos!$B$5)</f>
        <v/>
      </c>
    </row>
    <row r="188">
      <c r="A188" s="2" t="n">
        <v>187</v>
      </c>
      <c r="B188" t="n">
        <v>9</v>
      </c>
      <c r="C188" t="n">
        <v>1585</v>
      </c>
      <c r="D188" t="n">
        <v>1655</v>
      </c>
      <c r="E188" t="n">
        <v>1025</v>
      </c>
      <c r="F188" t="n">
        <v>820</v>
      </c>
      <c r="G188" t="n">
        <v>1165</v>
      </c>
      <c r="H188" t="n">
        <v>925</v>
      </c>
      <c r="I188" t="n">
        <v>2625</v>
      </c>
      <c r="J188" t="n">
        <v>1985</v>
      </c>
      <c r="K188" t="n">
        <v>980</v>
      </c>
      <c r="L188" t="n">
        <v>1010</v>
      </c>
      <c r="M188" t="n">
        <v>1310</v>
      </c>
      <c r="N188" s="6" t="n">
        <v>15085</v>
      </c>
      <c r="O188">
        <f>SUM(C188:H188)</f>
        <v/>
      </c>
      <c r="P188">
        <f>I188</f>
        <v/>
      </c>
      <c r="Q188">
        <f>J188</f>
        <v/>
      </c>
      <c r="R188">
        <f>SUM(K188:M188)</f>
        <v/>
      </c>
      <c r="S188">
        <f>SUM(O188:R188)</f>
        <v/>
      </c>
      <c r="T188" s="3">
        <f>IF(S188=0,"",O188/S188)</f>
        <v/>
      </c>
      <c r="U188" s="3">
        <f>IF(S188=0,"",P188/S188)</f>
        <v/>
      </c>
      <c r="V188" s="3">
        <f>IF(S188=0,"",Q188/S188)</f>
        <v/>
      </c>
      <c r="W188" s="3">
        <f>IF(S188=0,"",R188/S188)</f>
        <v/>
      </c>
      <c r="X188" s="4">
        <f>IF(S188=0,"",T188*Pesos!$B$2+U188*Pesos!$B$3+V188*Pesos!$B$4+W188*Pesos!$B$5)</f>
        <v/>
      </c>
    </row>
    <row r="189">
      <c r="A189" s="2" t="n">
        <v>188</v>
      </c>
      <c r="B189" t="n">
        <v>8</v>
      </c>
      <c r="C189" t="n">
        <v>630</v>
      </c>
      <c r="D189" t="n">
        <v>675</v>
      </c>
      <c r="E189" t="n">
        <v>940</v>
      </c>
      <c r="F189" t="n">
        <v>620</v>
      </c>
      <c r="G189" t="n">
        <v>325</v>
      </c>
      <c r="H189" t="n">
        <v>445</v>
      </c>
      <c r="I189" t="n">
        <v>1520</v>
      </c>
      <c r="J189" t="n">
        <v>1200</v>
      </c>
      <c r="K189" t="n">
        <v>830</v>
      </c>
      <c r="L189" t="n">
        <v>885</v>
      </c>
      <c r="M189" t="n">
        <v>1215</v>
      </c>
      <c r="N189" s="6" t="n">
        <v>9290</v>
      </c>
      <c r="O189">
        <f>SUM(C189:H189)</f>
        <v/>
      </c>
      <c r="P189">
        <f>I189</f>
        <v/>
      </c>
      <c r="Q189">
        <f>J189</f>
        <v/>
      </c>
      <c r="R189">
        <f>SUM(K189:M189)</f>
        <v/>
      </c>
      <c r="S189">
        <f>SUM(O189:R189)</f>
        <v/>
      </c>
      <c r="T189" s="3">
        <f>IF(S189=0,"",O189/S189)</f>
        <v/>
      </c>
      <c r="U189" s="3">
        <f>IF(S189=0,"",P189/S189)</f>
        <v/>
      </c>
      <c r="V189" s="3">
        <f>IF(S189=0,"",Q189/S189)</f>
        <v/>
      </c>
      <c r="W189" s="3">
        <f>IF(S189=0,"",R189/S189)</f>
        <v/>
      </c>
      <c r="X189" s="4">
        <f>IF(S189=0,"",T189*Pesos!$B$2+U189*Pesos!$B$3+V189*Pesos!$B$4+W189*Pesos!$B$5)</f>
        <v/>
      </c>
    </row>
    <row r="190">
      <c r="A190" s="2" t="n">
        <v>189</v>
      </c>
      <c r="B190" t="n">
        <v>7</v>
      </c>
      <c r="C190" t="n">
        <v>960</v>
      </c>
      <c r="D190" t="n">
        <v>810</v>
      </c>
      <c r="E190" t="n">
        <v>210</v>
      </c>
      <c r="F190" t="n">
        <v>210</v>
      </c>
      <c r="G190" t="n">
        <v>335</v>
      </c>
      <c r="H190" t="n">
        <v>315</v>
      </c>
      <c r="I190" t="n">
        <v>945</v>
      </c>
      <c r="J190" t="n">
        <v>1330</v>
      </c>
      <c r="K190" t="n">
        <v>765</v>
      </c>
      <c r="L190" t="n">
        <v>750</v>
      </c>
      <c r="M190" t="n">
        <v>770</v>
      </c>
      <c r="N190" s="6" t="n">
        <v>7400</v>
      </c>
      <c r="O190">
        <f>SUM(C190:H190)</f>
        <v/>
      </c>
      <c r="P190">
        <f>I190</f>
        <v/>
      </c>
      <c r="Q190">
        <f>J190</f>
        <v/>
      </c>
      <c r="R190">
        <f>SUM(K190:M190)</f>
        <v/>
      </c>
      <c r="S190">
        <f>SUM(O190:R190)</f>
        <v/>
      </c>
      <c r="T190" s="3">
        <f>IF(S190=0,"",O190/S190)</f>
        <v/>
      </c>
      <c r="U190" s="3">
        <f>IF(S190=0,"",P190/S190)</f>
        <v/>
      </c>
      <c r="V190" s="3">
        <f>IF(S190=0,"",Q190/S190)</f>
        <v/>
      </c>
      <c r="W190" s="3">
        <f>IF(S190=0,"",R190/S190)</f>
        <v/>
      </c>
      <c r="X190" s="4">
        <f>IF(S190=0,"",T190*Pesos!$B$2+U190*Pesos!$B$3+V190*Pesos!$B$4+W190*Pesos!$B$5)</f>
        <v/>
      </c>
    </row>
    <row r="191">
      <c r="A191" s="2" t="n">
        <v>190</v>
      </c>
      <c r="B191" t="n">
        <v>7</v>
      </c>
      <c r="C191" t="n">
        <v>500</v>
      </c>
      <c r="D191" t="n">
        <v>860</v>
      </c>
      <c r="E191" t="n">
        <v>470</v>
      </c>
      <c r="F191" t="n">
        <v>230</v>
      </c>
      <c r="G191" t="n">
        <v>265</v>
      </c>
      <c r="H191" t="n">
        <v>370</v>
      </c>
      <c r="I191" t="n">
        <v>950</v>
      </c>
      <c r="J191" t="n">
        <v>1215</v>
      </c>
      <c r="K191" t="n">
        <v>1080</v>
      </c>
      <c r="L191" t="n">
        <v>1050</v>
      </c>
      <c r="M191" t="n">
        <v>1500</v>
      </c>
      <c r="N191" s="6" t="n">
        <v>8490</v>
      </c>
      <c r="O191">
        <f>SUM(C191:H191)</f>
        <v/>
      </c>
      <c r="P191">
        <f>I191</f>
        <v/>
      </c>
      <c r="Q191">
        <f>J191</f>
        <v/>
      </c>
      <c r="R191">
        <f>SUM(K191:M191)</f>
        <v/>
      </c>
      <c r="S191">
        <f>SUM(O191:R191)</f>
        <v/>
      </c>
      <c r="T191" s="3">
        <f>IF(S191=0,"",O191/S191)</f>
        <v/>
      </c>
      <c r="U191" s="3">
        <f>IF(S191=0,"",P191/S191)</f>
        <v/>
      </c>
      <c r="V191" s="3">
        <f>IF(S191=0,"",Q191/S191)</f>
        <v/>
      </c>
      <c r="W191" s="3">
        <f>IF(S191=0,"",R191/S191)</f>
        <v/>
      </c>
      <c r="X191" s="4">
        <f>IF(S191=0,"",T191*Pesos!$B$2+U191*Pesos!$B$3+V191*Pesos!$B$4+W191*Pesos!$B$5)</f>
        <v/>
      </c>
    </row>
    <row r="192">
      <c r="A192" s="2" t="n">
        <v>191</v>
      </c>
      <c r="B192" t="n">
        <v>7</v>
      </c>
      <c r="C192" t="n">
        <v>665</v>
      </c>
      <c r="D192" t="n">
        <v>510</v>
      </c>
      <c r="E192" t="n">
        <v>340</v>
      </c>
      <c r="F192" t="n">
        <v>425</v>
      </c>
      <c r="G192" t="n">
        <v>400</v>
      </c>
      <c r="H192" t="n">
        <v>305</v>
      </c>
      <c r="I192" t="n">
        <v>1130</v>
      </c>
      <c r="J192" t="n">
        <v>1930</v>
      </c>
      <c r="K192" t="n">
        <v>1130</v>
      </c>
      <c r="L192" t="n">
        <v>1020</v>
      </c>
      <c r="M192" t="n">
        <v>1280</v>
      </c>
      <c r="N192" s="6" t="n">
        <v>9130</v>
      </c>
      <c r="O192">
        <f>SUM(C192:H192)</f>
        <v/>
      </c>
      <c r="P192">
        <f>I192</f>
        <v/>
      </c>
      <c r="Q192">
        <f>J192</f>
        <v/>
      </c>
      <c r="R192">
        <f>SUM(K192:M192)</f>
        <v/>
      </c>
      <c r="S192">
        <f>SUM(O192:R192)</f>
        <v/>
      </c>
      <c r="T192" s="3">
        <f>IF(S192=0,"",O192/S192)</f>
        <v/>
      </c>
      <c r="U192" s="3">
        <f>IF(S192=0,"",P192/S192)</f>
        <v/>
      </c>
      <c r="V192" s="3">
        <f>IF(S192=0,"",Q192/S192)</f>
        <v/>
      </c>
      <c r="W192" s="3">
        <f>IF(S192=0,"",R192/S192)</f>
        <v/>
      </c>
      <c r="X192" s="4">
        <f>IF(S192=0,"",T192*Pesos!$B$2+U192*Pesos!$B$3+V192*Pesos!$B$4+W192*Pesos!$B$5)</f>
        <v/>
      </c>
    </row>
    <row r="193">
      <c r="A193" s="2" t="n">
        <v>192</v>
      </c>
      <c r="B193" t="n">
        <v>7</v>
      </c>
      <c r="C193" t="n">
        <v>1035</v>
      </c>
      <c r="D193" t="n">
        <v>640</v>
      </c>
      <c r="E193" t="n">
        <v>410</v>
      </c>
      <c r="F193" t="n">
        <v>310</v>
      </c>
      <c r="G193" t="n">
        <v>390</v>
      </c>
      <c r="H193" t="n">
        <v>335</v>
      </c>
      <c r="I193" t="n">
        <v>1270</v>
      </c>
      <c r="J193" t="n">
        <v>1205</v>
      </c>
      <c r="K193" t="n">
        <v>660</v>
      </c>
      <c r="L193" t="n">
        <v>665</v>
      </c>
      <c r="M193" t="n">
        <v>1410</v>
      </c>
      <c r="N193" s="6" t="n">
        <v>8320</v>
      </c>
      <c r="O193">
        <f>SUM(C193:H193)</f>
        <v/>
      </c>
      <c r="P193">
        <f>I193</f>
        <v/>
      </c>
      <c r="Q193">
        <f>J193</f>
        <v/>
      </c>
      <c r="R193">
        <f>SUM(K193:M193)</f>
        <v/>
      </c>
      <c r="S193">
        <f>SUM(O193:R193)</f>
        <v/>
      </c>
      <c r="T193" s="3">
        <f>IF(S193=0,"",O193/S193)</f>
        <v/>
      </c>
      <c r="U193" s="3">
        <f>IF(S193=0,"",P193/S193)</f>
        <v/>
      </c>
      <c r="V193" s="3">
        <f>IF(S193=0,"",Q193/S193)</f>
        <v/>
      </c>
      <c r="W193" s="3">
        <f>IF(S193=0,"",R193/S193)</f>
        <v/>
      </c>
      <c r="X193" s="4">
        <f>IF(S193=0,"",T193*Pesos!$B$2+U193*Pesos!$B$3+V193*Pesos!$B$4+W193*Pesos!$B$5)</f>
        <v/>
      </c>
    </row>
    <row r="194">
      <c r="A194" s="2" t="n">
        <v>193</v>
      </c>
      <c r="B194" t="n">
        <v>8</v>
      </c>
      <c r="C194" t="n">
        <v>1105</v>
      </c>
      <c r="D194" t="n">
        <v>835</v>
      </c>
      <c r="E194" t="n">
        <v>690</v>
      </c>
      <c r="F194" t="n">
        <v>475</v>
      </c>
      <c r="G194" t="n">
        <v>600</v>
      </c>
      <c r="H194" t="n">
        <v>405</v>
      </c>
      <c r="I194" t="n">
        <v>1335</v>
      </c>
      <c r="J194" t="n">
        <v>1690</v>
      </c>
      <c r="K194" t="n">
        <v>1250</v>
      </c>
      <c r="L194" t="n">
        <v>720</v>
      </c>
      <c r="M194" t="n">
        <v>1095</v>
      </c>
      <c r="N194" s="6" t="n">
        <v>10195</v>
      </c>
      <c r="O194">
        <f>SUM(C194:H194)</f>
        <v/>
      </c>
      <c r="P194">
        <f>I194</f>
        <v/>
      </c>
      <c r="Q194">
        <f>J194</f>
        <v/>
      </c>
      <c r="R194">
        <f>SUM(K194:M194)</f>
        <v/>
      </c>
      <c r="S194">
        <f>SUM(O194:R194)</f>
        <v/>
      </c>
      <c r="T194" s="3">
        <f>IF(S194=0,"",O194/S194)</f>
        <v/>
      </c>
      <c r="U194" s="3">
        <f>IF(S194=0,"",P194/S194)</f>
        <v/>
      </c>
      <c r="V194" s="3">
        <f>IF(S194=0,"",Q194/S194)</f>
        <v/>
      </c>
      <c r="W194" s="3">
        <f>IF(S194=0,"",R194/S194)</f>
        <v/>
      </c>
      <c r="X194" s="4">
        <f>IF(S194=0,"",T194*Pesos!$B$2+U194*Pesos!$B$3+V194*Pesos!$B$4+W194*Pesos!$B$5)</f>
        <v/>
      </c>
    </row>
    <row r="195">
      <c r="A195" s="2" t="n">
        <v>194</v>
      </c>
      <c r="B195" t="n">
        <v>7</v>
      </c>
      <c r="C195" t="n">
        <v>425</v>
      </c>
      <c r="D195" t="n">
        <v>515</v>
      </c>
      <c r="E195" t="n">
        <v>350</v>
      </c>
      <c r="F195" t="n">
        <v>395</v>
      </c>
      <c r="G195" t="n">
        <v>350</v>
      </c>
      <c r="H195" t="n">
        <v>240</v>
      </c>
      <c r="I195" t="n">
        <v>850</v>
      </c>
      <c r="J195" t="n">
        <v>1775</v>
      </c>
      <c r="K195" t="n">
        <v>980</v>
      </c>
      <c r="L195" t="n">
        <v>830</v>
      </c>
      <c r="M195" t="n">
        <v>755</v>
      </c>
      <c r="N195" s="6" t="n">
        <v>7470</v>
      </c>
      <c r="O195">
        <f>SUM(C195:H195)</f>
        <v/>
      </c>
      <c r="P195">
        <f>I195</f>
        <v/>
      </c>
      <c r="Q195">
        <f>J195</f>
        <v/>
      </c>
      <c r="R195">
        <f>SUM(K195:M195)</f>
        <v/>
      </c>
      <c r="S195">
        <f>SUM(O195:R195)</f>
        <v/>
      </c>
      <c r="T195" s="3">
        <f>IF(S195=0,"",O195/S195)</f>
        <v/>
      </c>
      <c r="U195" s="3">
        <f>IF(S195=0,"",P195/S195)</f>
        <v/>
      </c>
      <c r="V195" s="3">
        <f>IF(S195=0,"",Q195/S195)</f>
        <v/>
      </c>
      <c r="W195" s="3">
        <f>IF(S195=0,"",R195/S195)</f>
        <v/>
      </c>
      <c r="X195" s="4">
        <f>IF(S195=0,"",T195*Pesos!$B$2+U195*Pesos!$B$3+V195*Pesos!$B$4+W195*Pesos!$B$5)</f>
        <v/>
      </c>
    </row>
    <row r="196">
      <c r="A196" s="2" t="n">
        <v>195</v>
      </c>
      <c r="B196" t="n">
        <v>8</v>
      </c>
      <c r="C196" t="n">
        <v>640</v>
      </c>
      <c r="D196" t="n">
        <v>545</v>
      </c>
      <c r="E196" t="n">
        <v>360</v>
      </c>
      <c r="F196" t="n">
        <v>420</v>
      </c>
      <c r="G196" t="n">
        <v>390</v>
      </c>
      <c r="H196" t="n">
        <v>355</v>
      </c>
      <c r="I196" t="n">
        <v>1235</v>
      </c>
      <c r="J196" t="n">
        <v>1515</v>
      </c>
      <c r="K196" t="n">
        <v>800</v>
      </c>
      <c r="L196" t="n">
        <v>600</v>
      </c>
      <c r="M196" t="n">
        <v>1005</v>
      </c>
      <c r="N196" s="6" t="n">
        <v>7870</v>
      </c>
      <c r="O196">
        <f>SUM(C196:H196)</f>
        <v/>
      </c>
      <c r="P196">
        <f>I196</f>
        <v/>
      </c>
      <c r="Q196">
        <f>J196</f>
        <v/>
      </c>
      <c r="R196">
        <f>SUM(K196:M196)</f>
        <v/>
      </c>
      <c r="S196">
        <f>SUM(O196:R196)</f>
        <v/>
      </c>
      <c r="T196" s="3">
        <f>IF(S196=0,"",O196/S196)</f>
        <v/>
      </c>
      <c r="U196" s="3">
        <f>IF(S196=0,"",P196/S196)</f>
        <v/>
      </c>
      <c r="V196" s="3">
        <f>IF(S196=0,"",Q196/S196)</f>
        <v/>
      </c>
      <c r="W196" s="3">
        <f>IF(S196=0,"",R196/S196)</f>
        <v/>
      </c>
      <c r="X196" s="4">
        <f>IF(S196=0,"",T196*Pesos!$B$2+U196*Pesos!$B$3+V196*Pesos!$B$4+W196*Pesos!$B$5)</f>
        <v/>
      </c>
    </row>
    <row r="197">
      <c r="A197" s="2" t="n">
        <v>196</v>
      </c>
      <c r="B197" t="n">
        <v>7</v>
      </c>
      <c r="C197" t="n">
        <v>680</v>
      </c>
      <c r="D197" t="n">
        <v>740</v>
      </c>
      <c r="E197" t="n">
        <v>280</v>
      </c>
      <c r="F197" t="n">
        <v>240</v>
      </c>
      <c r="G197" t="n">
        <v>450</v>
      </c>
      <c r="H197" t="n">
        <v>360</v>
      </c>
      <c r="I197" t="n">
        <v>1005</v>
      </c>
      <c r="J197" t="n">
        <v>1300</v>
      </c>
      <c r="K197" t="n">
        <v>980</v>
      </c>
      <c r="L197" t="n">
        <v>525</v>
      </c>
      <c r="M197" t="n">
        <v>835</v>
      </c>
      <c r="N197" s="6" t="n">
        <v>7390</v>
      </c>
      <c r="O197">
        <f>SUM(C197:H197)</f>
        <v/>
      </c>
      <c r="P197">
        <f>I197</f>
        <v/>
      </c>
      <c r="Q197">
        <f>J197</f>
        <v/>
      </c>
      <c r="R197">
        <f>SUM(K197:M197)</f>
        <v/>
      </c>
      <c r="S197">
        <f>SUM(O197:R197)</f>
        <v/>
      </c>
      <c r="T197" s="3">
        <f>IF(S197=0,"",O197/S197)</f>
        <v/>
      </c>
      <c r="U197" s="3">
        <f>IF(S197=0,"",P197/S197)</f>
        <v/>
      </c>
      <c r="V197" s="3">
        <f>IF(S197=0,"",Q197/S197)</f>
        <v/>
      </c>
      <c r="W197" s="3">
        <f>IF(S197=0,"",R197/S197)</f>
        <v/>
      </c>
      <c r="X197" s="4">
        <f>IF(S197=0,"",T197*Pesos!$B$2+U197*Pesos!$B$3+V197*Pesos!$B$4+W197*Pesos!$B$5)</f>
        <v/>
      </c>
    </row>
    <row r="198">
      <c r="A198" s="2" t="n">
        <v>197</v>
      </c>
      <c r="B198" t="n">
        <v>8</v>
      </c>
      <c r="C198" t="n">
        <v>735</v>
      </c>
      <c r="D198" t="n">
        <v>645</v>
      </c>
      <c r="E198" t="n">
        <v>665</v>
      </c>
      <c r="F198" t="n">
        <v>505</v>
      </c>
      <c r="G198" t="n">
        <v>230</v>
      </c>
      <c r="H198" t="n">
        <v>550</v>
      </c>
      <c r="I198" t="n">
        <v>1385</v>
      </c>
      <c r="J198" t="n">
        <v>1360</v>
      </c>
      <c r="K198" t="n">
        <v>1105</v>
      </c>
      <c r="L198" t="n">
        <v>815</v>
      </c>
      <c r="M198" t="n">
        <v>855</v>
      </c>
      <c r="N198" s="6" t="n">
        <v>8855</v>
      </c>
      <c r="O198">
        <f>SUM(C198:H198)</f>
        <v/>
      </c>
      <c r="P198">
        <f>I198</f>
        <v/>
      </c>
      <c r="Q198">
        <f>J198</f>
        <v/>
      </c>
      <c r="R198">
        <f>SUM(K198:M198)</f>
        <v/>
      </c>
      <c r="S198">
        <f>SUM(O198:R198)</f>
        <v/>
      </c>
      <c r="T198" s="3">
        <f>IF(S198=0,"",O198/S198)</f>
        <v/>
      </c>
      <c r="U198" s="3">
        <f>IF(S198=0,"",P198/S198)</f>
        <v/>
      </c>
      <c r="V198" s="3">
        <f>IF(S198=0,"",Q198/S198)</f>
        <v/>
      </c>
      <c r="W198" s="3">
        <f>IF(S198=0,"",R198/S198)</f>
        <v/>
      </c>
      <c r="X198" s="4">
        <f>IF(S198=0,"",T198*Pesos!$B$2+U198*Pesos!$B$3+V198*Pesos!$B$4+W198*Pesos!$B$5)</f>
        <v/>
      </c>
    </row>
    <row r="199">
      <c r="A199" s="2" t="n">
        <v>198</v>
      </c>
      <c r="B199" t="n">
        <v>8</v>
      </c>
      <c r="C199" t="n">
        <v>695</v>
      </c>
      <c r="D199" t="n">
        <v>360</v>
      </c>
      <c r="E199" t="n">
        <v>555</v>
      </c>
      <c r="F199" t="n">
        <v>195</v>
      </c>
      <c r="G199" t="n">
        <v>415</v>
      </c>
      <c r="H199" t="n">
        <v>310</v>
      </c>
      <c r="I199" t="n">
        <v>915</v>
      </c>
      <c r="J199" t="n">
        <v>1365</v>
      </c>
      <c r="K199" t="n">
        <v>985</v>
      </c>
      <c r="L199" t="n">
        <v>710</v>
      </c>
      <c r="M199" t="n">
        <v>550</v>
      </c>
      <c r="N199" s="6" t="n">
        <v>7050</v>
      </c>
      <c r="O199">
        <f>SUM(C199:H199)</f>
        <v/>
      </c>
      <c r="P199">
        <f>I199</f>
        <v/>
      </c>
      <c r="Q199">
        <f>J199</f>
        <v/>
      </c>
      <c r="R199">
        <f>SUM(K199:M199)</f>
        <v/>
      </c>
      <c r="S199">
        <f>SUM(O199:R199)</f>
        <v/>
      </c>
      <c r="T199" s="3">
        <f>IF(S199=0,"",O199/S199)</f>
        <v/>
      </c>
      <c r="U199" s="3">
        <f>IF(S199=0,"",P199/S199)</f>
        <v/>
      </c>
      <c r="V199" s="3">
        <f>IF(S199=0,"",Q199/S199)</f>
        <v/>
      </c>
      <c r="W199" s="3">
        <f>IF(S199=0,"",R199/S199)</f>
        <v/>
      </c>
      <c r="X199" s="4">
        <f>IF(S199=0,"",T199*Pesos!$B$2+U199*Pesos!$B$3+V199*Pesos!$B$4+W199*Pesos!$B$5)</f>
        <v/>
      </c>
    </row>
    <row r="200">
      <c r="A200" s="2" t="n">
        <v>199</v>
      </c>
      <c r="B200" t="n">
        <v>9</v>
      </c>
      <c r="C200" t="n">
        <v>470</v>
      </c>
      <c r="D200" t="n">
        <v>470</v>
      </c>
      <c r="E200" t="n">
        <v>585</v>
      </c>
      <c r="F200" t="n">
        <v>360</v>
      </c>
      <c r="G200" t="n">
        <v>415</v>
      </c>
      <c r="H200" t="n">
        <v>270</v>
      </c>
      <c r="I200" t="n">
        <v>1400</v>
      </c>
      <c r="J200" t="n">
        <v>1695</v>
      </c>
      <c r="K200" t="n">
        <v>1475</v>
      </c>
      <c r="L200" t="n">
        <v>690</v>
      </c>
      <c r="M200" t="n">
        <v>1180</v>
      </c>
      <c r="N200" s="6" t="n">
        <v>9010</v>
      </c>
      <c r="O200">
        <f>SUM(C200:H200)</f>
        <v/>
      </c>
      <c r="P200">
        <f>I200</f>
        <v/>
      </c>
      <c r="Q200">
        <f>J200</f>
        <v/>
      </c>
      <c r="R200">
        <f>SUM(K200:M200)</f>
        <v/>
      </c>
      <c r="S200">
        <f>SUM(O200:R200)</f>
        <v/>
      </c>
      <c r="T200" s="3">
        <f>IF(S200=0,"",O200/S200)</f>
        <v/>
      </c>
      <c r="U200" s="3">
        <f>IF(S200=0,"",P200/S200)</f>
        <v/>
      </c>
      <c r="V200" s="3">
        <f>IF(S200=0,"",Q200/S200)</f>
        <v/>
      </c>
      <c r="W200" s="3">
        <f>IF(S200=0,"",R200/S200)</f>
        <v/>
      </c>
      <c r="X200" s="4">
        <f>IF(S200=0,"",T200*Pesos!$B$2+U200*Pesos!$B$3+V200*Pesos!$B$4+W200*Pesos!$B$5)</f>
        <v/>
      </c>
    </row>
    <row r="201">
      <c r="A201" s="2" t="n">
        <v>200</v>
      </c>
      <c r="B201" t="n">
        <v>8</v>
      </c>
      <c r="C201" t="n">
        <v>560</v>
      </c>
      <c r="D201" t="n">
        <v>500</v>
      </c>
      <c r="E201" t="n">
        <v>495</v>
      </c>
      <c r="F201" t="n">
        <v>365</v>
      </c>
      <c r="G201" t="n">
        <v>350</v>
      </c>
      <c r="H201" t="n">
        <v>305</v>
      </c>
      <c r="I201" t="n">
        <v>815</v>
      </c>
      <c r="J201" t="n">
        <v>1650</v>
      </c>
      <c r="K201" t="n">
        <v>1205</v>
      </c>
      <c r="L201" t="n">
        <v>990</v>
      </c>
      <c r="M201" t="n">
        <v>1350</v>
      </c>
      <c r="N201" s="6" t="n">
        <v>8595</v>
      </c>
      <c r="O201">
        <f>SUM(C201:H201)</f>
        <v/>
      </c>
      <c r="P201">
        <f>I201</f>
        <v/>
      </c>
      <c r="Q201">
        <f>J201</f>
        <v/>
      </c>
      <c r="R201">
        <f>SUM(K201:M201)</f>
        <v/>
      </c>
      <c r="S201">
        <f>SUM(O201:R201)</f>
        <v/>
      </c>
      <c r="T201" s="3">
        <f>IF(S201=0,"",O201/S201)</f>
        <v/>
      </c>
      <c r="U201" s="3">
        <f>IF(S201=0,"",P201/S201)</f>
        <v/>
      </c>
      <c r="V201" s="3">
        <f>IF(S201=0,"",Q201/S201)</f>
        <v/>
      </c>
      <c r="W201" s="3">
        <f>IF(S201=0,"",R201/S201)</f>
        <v/>
      </c>
      <c r="X201" s="4">
        <f>IF(S201=0,"",T201*Pesos!$B$2+U201*Pesos!$B$3+V201*Pesos!$B$4+W201*Pesos!$B$5)</f>
        <v/>
      </c>
    </row>
    <row r="202">
      <c r="A202" s="2" t="n">
        <v>201</v>
      </c>
      <c r="B202" t="n">
        <v>7</v>
      </c>
      <c r="C202" t="n">
        <v>800</v>
      </c>
      <c r="D202" t="n">
        <v>655</v>
      </c>
      <c r="E202" t="n">
        <v>1010</v>
      </c>
      <c r="F202" t="n">
        <v>610</v>
      </c>
      <c r="G202" t="n">
        <v>725</v>
      </c>
      <c r="H202" t="n">
        <v>445</v>
      </c>
      <c r="I202" t="n">
        <v>1220</v>
      </c>
      <c r="J202" t="n">
        <v>890</v>
      </c>
      <c r="K202" t="n">
        <v>875</v>
      </c>
      <c r="L202" t="n">
        <v>370</v>
      </c>
      <c r="M202" t="n">
        <v>900</v>
      </c>
      <c r="N202" s="6" t="n">
        <v>8500</v>
      </c>
      <c r="O202">
        <f>SUM(C202:H202)</f>
        <v/>
      </c>
      <c r="P202">
        <f>I202</f>
        <v/>
      </c>
      <c r="Q202">
        <f>J202</f>
        <v/>
      </c>
      <c r="R202">
        <f>SUM(K202:M202)</f>
        <v/>
      </c>
      <c r="S202">
        <f>SUM(O202:R202)</f>
        <v/>
      </c>
      <c r="T202" s="3">
        <f>IF(S202=0,"",O202/S202)</f>
        <v/>
      </c>
      <c r="U202" s="3">
        <f>IF(S202=0,"",P202/S202)</f>
        <v/>
      </c>
      <c r="V202" s="3">
        <f>IF(S202=0,"",Q202/S202)</f>
        <v/>
      </c>
      <c r="W202" s="3">
        <f>IF(S202=0,"",R202/S202)</f>
        <v/>
      </c>
      <c r="X202" s="4">
        <f>IF(S202=0,"",T202*Pesos!$B$2+U202*Pesos!$B$3+V202*Pesos!$B$4+W202*Pesos!$B$5)</f>
        <v/>
      </c>
    </row>
    <row r="203">
      <c r="A203" s="2" t="n">
        <v>202</v>
      </c>
      <c r="B203" t="n">
        <v>7</v>
      </c>
      <c r="C203" t="n">
        <v>650</v>
      </c>
      <c r="D203" t="n">
        <v>890</v>
      </c>
      <c r="E203" t="n">
        <v>415</v>
      </c>
      <c r="F203" t="n">
        <v>600</v>
      </c>
      <c r="G203" t="n">
        <v>335</v>
      </c>
      <c r="H203" t="n">
        <v>200</v>
      </c>
      <c r="I203" t="n">
        <v>1330</v>
      </c>
      <c r="J203" t="n">
        <v>1865</v>
      </c>
      <c r="K203" t="n">
        <v>810</v>
      </c>
      <c r="L203" t="n">
        <v>920</v>
      </c>
      <c r="M203" t="n">
        <v>845</v>
      </c>
      <c r="N203" s="6" t="n">
        <v>8865</v>
      </c>
      <c r="O203">
        <f>SUM(C203:H203)</f>
        <v/>
      </c>
      <c r="P203">
        <f>I203</f>
        <v/>
      </c>
      <c r="Q203">
        <f>J203</f>
        <v/>
      </c>
      <c r="R203">
        <f>SUM(K203:M203)</f>
        <v/>
      </c>
      <c r="S203">
        <f>SUM(O203:R203)</f>
        <v/>
      </c>
      <c r="T203" s="3">
        <f>IF(S203=0,"",O203/S203)</f>
        <v/>
      </c>
      <c r="U203" s="3">
        <f>IF(S203=0,"",P203/S203)</f>
        <v/>
      </c>
      <c r="V203" s="3">
        <f>IF(S203=0,"",Q203/S203)</f>
        <v/>
      </c>
      <c r="W203" s="3">
        <f>IF(S203=0,"",R203/S203)</f>
        <v/>
      </c>
      <c r="X203" s="4">
        <f>IF(S203=0,"",T203*Pesos!$B$2+U203*Pesos!$B$3+V203*Pesos!$B$4+W203*Pesos!$B$5)</f>
        <v/>
      </c>
    </row>
    <row r="204">
      <c r="A204" s="2" t="n">
        <v>203</v>
      </c>
      <c r="B204" t="n">
        <v>7</v>
      </c>
      <c r="C204" t="n">
        <v>475</v>
      </c>
      <c r="D204" t="n">
        <v>670</v>
      </c>
      <c r="E204" t="n">
        <v>340</v>
      </c>
      <c r="F204" t="n">
        <v>670</v>
      </c>
      <c r="G204" t="n">
        <v>600</v>
      </c>
      <c r="H204" t="n">
        <v>225</v>
      </c>
      <c r="I204" t="n">
        <v>1175</v>
      </c>
      <c r="J204" t="n">
        <v>1395</v>
      </c>
      <c r="K204" t="n">
        <v>1440</v>
      </c>
      <c r="L204" t="n">
        <v>790</v>
      </c>
      <c r="M204" t="n">
        <v>840</v>
      </c>
      <c r="N204" s="6" t="n">
        <v>8615</v>
      </c>
      <c r="O204">
        <f>SUM(C204:H204)</f>
        <v/>
      </c>
      <c r="P204">
        <f>I204</f>
        <v/>
      </c>
      <c r="Q204">
        <f>J204</f>
        <v/>
      </c>
      <c r="R204">
        <f>SUM(K204:M204)</f>
        <v/>
      </c>
      <c r="S204">
        <f>SUM(O204:R204)</f>
        <v/>
      </c>
      <c r="T204" s="3">
        <f>IF(S204=0,"",O204/S204)</f>
        <v/>
      </c>
      <c r="U204" s="3">
        <f>IF(S204=0,"",P204/S204)</f>
        <v/>
      </c>
      <c r="V204" s="3">
        <f>IF(S204=0,"",Q204/S204)</f>
        <v/>
      </c>
      <c r="W204" s="3">
        <f>IF(S204=0,"",R204/S204)</f>
        <v/>
      </c>
      <c r="X204" s="4">
        <f>IF(S204=0,"",T204*Pesos!$B$2+U204*Pesos!$B$3+V204*Pesos!$B$4+W204*Pesos!$B$5)</f>
        <v/>
      </c>
    </row>
    <row r="205">
      <c r="A205" s="2" t="n">
        <v>204</v>
      </c>
      <c r="B205" t="n">
        <v>7</v>
      </c>
      <c r="C205" t="n">
        <v>140</v>
      </c>
      <c r="D205" t="n">
        <v>220</v>
      </c>
      <c r="E205" t="n">
        <v>465</v>
      </c>
      <c r="F205" t="n">
        <v>220</v>
      </c>
      <c r="G205" t="n">
        <v>265</v>
      </c>
      <c r="H205" t="n">
        <v>180</v>
      </c>
      <c r="I205" t="n">
        <v>940</v>
      </c>
      <c r="J205" t="n">
        <v>1130</v>
      </c>
      <c r="K205" t="n">
        <v>830</v>
      </c>
      <c r="L205" t="n">
        <v>1040</v>
      </c>
      <c r="M205" t="n">
        <v>885</v>
      </c>
      <c r="N205" s="6" t="n">
        <v>6320</v>
      </c>
      <c r="O205">
        <f>SUM(C205:H205)</f>
        <v/>
      </c>
      <c r="P205">
        <f>I205</f>
        <v/>
      </c>
      <c r="Q205">
        <f>J205</f>
        <v/>
      </c>
      <c r="R205">
        <f>SUM(K205:M205)</f>
        <v/>
      </c>
      <c r="S205">
        <f>SUM(O205:R205)</f>
        <v/>
      </c>
      <c r="T205" s="3">
        <f>IF(S205=0,"",O205/S205)</f>
        <v/>
      </c>
      <c r="U205" s="3">
        <f>IF(S205=0,"",P205/S205)</f>
        <v/>
      </c>
      <c r="V205" s="3">
        <f>IF(S205=0,"",Q205/S205)</f>
        <v/>
      </c>
      <c r="W205" s="3">
        <f>IF(S205=0,"",R205/S205)</f>
        <v/>
      </c>
      <c r="X205" s="4">
        <f>IF(S205=0,"",T205*Pesos!$B$2+U205*Pesos!$B$3+V205*Pesos!$B$4+W205*Pesos!$B$5)</f>
        <v/>
      </c>
    </row>
    <row r="206">
      <c r="A206" s="2" t="n">
        <v>205</v>
      </c>
      <c r="B206" t="n">
        <v>7</v>
      </c>
      <c r="C206" t="n">
        <v>300</v>
      </c>
      <c r="D206" t="n">
        <v>460</v>
      </c>
      <c r="E206" t="n">
        <v>235</v>
      </c>
      <c r="F206" t="n">
        <v>250</v>
      </c>
      <c r="G206" t="n">
        <v>460</v>
      </c>
      <c r="H206" t="n">
        <v>180</v>
      </c>
      <c r="I206" t="n">
        <v>595</v>
      </c>
      <c r="J206" t="n">
        <v>1605</v>
      </c>
      <c r="K206" t="n">
        <v>1105</v>
      </c>
      <c r="L206" t="n">
        <v>850</v>
      </c>
      <c r="M206" t="n">
        <v>1345</v>
      </c>
      <c r="N206" s="6" t="n">
        <v>7380</v>
      </c>
      <c r="O206">
        <f>SUM(C206:H206)</f>
        <v/>
      </c>
      <c r="P206">
        <f>I206</f>
        <v/>
      </c>
      <c r="Q206">
        <f>J206</f>
        <v/>
      </c>
      <c r="R206">
        <f>SUM(K206:M206)</f>
        <v/>
      </c>
      <c r="S206">
        <f>SUM(O206:R206)</f>
        <v/>
      </c>
      <c r="T206" s="3">
        <f>IF(S206=0,"",O206/S206)</f>
        <v/>
      </c>
      <c r="U206" s="3">
        <f>IF(S206=0,"",P206/S206)</f>
        <v/>
      </c>
      <c r="V206" s="3">
        <f>IF(S206=0,"",Q206/S206)</f>
        <v/>
      </c>
      <c r="W206" s="3">
        <f>IF(S206=0,"",R206/S206)</f>
        <v/>
      </c>
      <c r="X206" s="4">
        <f>IF(S206=0,"",T206*Pesos!$B$2+U206*Pesos!$B$3+V206*Pesos!$B$4+W206*Pesos!$B$5)</f>
        <v/>
      </c>
    </row>
    <row r="207">
      <c r="A207" s="2" t="n">
        <v>206</v>
      </c>
      <c r="B207" t="n">
        <v>6</v>
      </c>
      <c r="C207" t="n">
        <v>110</v>
      </c>
      <c r="D207" t="n">
        <v>170</v>
      </c>
      <c r="E207" t="n">
        <v>255</v>
      </c>
      <c r="F207" s="7" t="n">
        <v>20</v>
      </c>
      <c r="G207" t="n">
        <v>95</v>
      </c>
      <c r="H207" t="n">
        <v>65</v>
      </c>
      <c r="I207" t="n">
        <v>440</v>
      </c>
      <c r="J207" t="n">
        <v>545</v>
      </c>
      <c r="K207" t="n">
        <v>370</v>
      </c>
      <c r="L207" t="n">
        <v>605</v>
      </c>
      <c r="M207" t="n">
        <v>960</v>
      </c>
      <c r="N207" s="6" t="n">
        <v>3630</v>
      </c>
      <c r="O207">
        <f>SUM(C207:H207)</f>
        <v/>
      </c>
      <c r="P207">
        <f>I207</f>
        <v/>
      </c>
      <c r="Q207">
        <f>J207</f>
        <v/>
      </c>
      <c r="R207">
        <f>SUM(K207:M207)</f>
        <v/>
      </c>
      <c r="S207">
        <f>SUM(O207:R207)</f>
        <v/>
      </c>
      <c r="T207" s="3">
        <f>IF(S207=0,"",O207/S207)</f>
        <v/>
      </c>
      <c r="U207" s="3">
        <f>IF(S207=0,"",P207/S207)</f>
        <v/>
      </c>
      <c r="V207" s="3">
        <f>IF(S207=0,"",Q207/S207)</f>
        <v/>
      </c>
      <c r="W207" s="3">
        <f>IF(S207=0,"",R207/S207)</f>
        <v/>
      </c>
      <c r="X207" s="4">
        <f>IF(S207=0,"",T207*Pesos!$B$2+U207*Pesos!$B$3+V207*Pesos!$B$4+W207*Pesos!$B$5)</f>
        <v/>
      </c>
    </row>
    <row r="208">
      <c r="A208" s="2" t="n">
        <v>207</v>
      </c>
      <c r="B208" t="n">
        <v>10</v>
      </c>
      <c r="C208" t="n">
        <v>240</v>
      </c>
      <c r="D208" t="n">
        <v>610</v>
      </c>
      <c r="E208" t="n">
        <v>405</v>
      </c>
      <c r="F208" t="n">
        <v>175</v>
      </c>
      <c r="G208" t="n">
        <v>350</v>
      </c>
      <c r="H208" t="n">
        <v>365</v>
      </c>
      <c r="I208" t="n">
        <v>2660</v>
      </c>
      <c r="J208" t="n">
        <v>2730</v>
      </c>
      <c r="K208" t="n">
        <v>2955</v>
      </c>
      <c r="L208" t="n">
        <v>1700</v>
      </c>
      <c r="M208" t="n">
        <v>905</v>
      </c>
      <c r="N208" s="6" t="n">
        <v>13095</v>
      </c>
      <c r="O208">
        <f>SUM(C208:H208)</f>
        <v/>
      </c>
      <c r="P208">
        <f>I208</f>
        <v/>
      </c>
      <c r="Q208">
        <f>J208</f>
        <v/>
      </c>
      <c r="R208">
        <f>SUM(K208:M208)</f>
        <v/>
      </c>
      <c r="S208">
        <f>SUM(O208:R208)</f>
        <v/>
      </c>
      <c r="T208" s="3">
        <f>IF(S208=0,"",O208/S208)</f>
        <v/>
      </c>
      <c r="U208" s="3">
        <f>IF(S208=0,"",P208/S208)</f>
        <v/>
      </c>
      <c r="V208" s="3">
        <f>IF(S208=0,"",Q208/S208)</f>
        <v/>
      </c>
      <c r="W208" s="3">
        <f>IF(S208=0,"",R208/S208)</f>
        <v/>
      </c>
      <c r="X208" s="4">
        <f>IF(S208=0,"",T208*Pesos!$B$2+U208*Pesos!$B$3+V208*Pesos!$B$4+W208*Pesos!$B$5)</f>
        <v/>
      </c>
    </row>
    <row r="209">
      <c r="A209" s="2" t="n">
        <v>208</v>
      </c>
      <c r="B209" t="n">
        <v>11</v>
      </c>
      <c r="C209" t="n">
        <v>370</v>
      </c>
      <c r="D209" t="n">
        <v>390</v>
      </c>
      <c r="E209" t="n">
        <v>495</v>
      </c>
      <c r="F209" t="n">
        <v>305</v>
      </c>
      <c r="G209" t="n">
        <v>440</v>
      </c>
      <c r="H209" t="n">
        <v>345</v>
      </c>
      <c r="I209" t="n">
        <v>850</v>
      </c>
      <c r="J209" t="n">
        <v>2295</v>
      </c>
      <c r="K209" t="n">
        <v>3680</v>
      </c>
      <c r="L209" t="n">
        <v>855</v>
      </c>
      <c r="M209" t="n">
        <v>965</v>
      </c>
      <c r="N209" s="6" t="n">
        <v>10990</v>
      </c>
      <c r="O209">
        <f>SUM(C209:H209)</f>
        <v/>
      </c>
      <c r="P209">
        <f>I209</f>
        <v/>
      </c>
      <c r="Q209">
        <f>J209</f>
        <v/>
      </c>
      <c r="R209">
        <f>SUM(K209:M209)</f>
        <v/>
      </c>
      <c r="S209">
        <f>SUM(O209:R209)</f>
        <v/>
      </c>
      <c r="T209" s="3">
        <f>IF(S209=0,"",O209/S209)</f>
        <v/>
      </c>
      <c r="U209" s="3">
        <f>IF(S209=0,"",P209/S209)</f>
        <v/>
      </c>
      <c r="V209" s="3">
        <f>IF(S209=0,"",Q209/S209)</f>
        <v/>
      </c>
      <c r="W209" s="3">
        <f>IF(S209=0,"",R209/S209)</f>
        <v/>
      </c>
      <c r="X209" s="4">
        <f>IF(S209=0,"",T209*Pesos!$B$2+U209*Pesos!$B$3+V209*Pesos!$B$4+W209*Pesos!$B$5)</f>
        <v/>
      </c>
    </row>
    <row r="210">
      <c r="A210" s="2" t="n">
        <v>209</v>
      </c>
      <c r="B210" t="n">
        <v>9</v>
      </c>
      <c r="C210" t="n">
        <v>495</v>
      </c>
      <c r="D210" t="n">
        <v>710</v>
      </c>
      <c r="E210" t="n">
        <v>620</v>
      </c>
      <c r="F210" t="n">
        <v>440</v>
      </c>
      <c r="G210" t="n">
        <v>460</v>
      </c>
      <c r="H210" t="n">
        <v>475</v>
      </c>
      <c r="I210" t="n">
        <v>1240</v>
      </c>
      <c r="J210" t="n">
        <v>1205</v>
      </c>
      <c r="K210" t="n">
        <v>2000</v>
      </c>
      <c r="L210" t="n">
        <v>2350</v>
      </c>
      <c r="M210" t="n">
        <v>730</v>
      </c>
      <c r="N210" s="6" t="n">
        <v>10720</v>
      </c>
      <c r="O210">
        <f>SUM(C210:H210)</f>
        <v/>
      </c>
      <c r="P210">
        <f>I210</f>
        <v/>
      </c>
      <c r="Q210">
        <f>J210</f>
        <v/>
      </c>
      <c r="R210">
        <f>SUM(K210:M210)</f>
        <v/>
      </c>
      <c r="S210">
        <f>SUM(O210:R210)</f>
        <v/>
      </c>
      <c r="T210" s="3">
        <f>IF(S210=0,"",O210/S210)</f>
        <v/>
      </c>
      <c r="U210" s="3">
        <f>IF(S210=0,"",P210/S210)</f>
        <v/>
      </c>
      <c r="V210" s="3">
        <f>IF(S210=0,"",Q210/S210)</f>
        <v/>
      </c>
      <c r="W210" s="3">
        <f>IF(S210=0,"",R210/S210)</f>
        <v/>
      </c>
      <c r="X210" s="4">
        <f>IF(S210=0,"",T210*Pesos!$B$2+U210*Pesos!$B$3+V210*Pesos!$B$4+W210*Pesos!$B$5)</f>
        <v/>
      </c>
    </row>
    <row r="211">
      <c r="A211" s="2" t="n">
        <v>210</v>
      </c>
      <c r="B211" t="n">
        <v>8</v>
      </c>
      <c r="C211" t="n">
        <v>395</v>
      </c>
      <c r="D211" t="n">
        <v>580</v>
      </c>
      <c r="E211" t="n">
        <v>425</v>
      </c>
      <c r="F211" t="n">
        <v>300</v>
      </c>
      <c r="G211" t="n">
        <v>250</v>
      </c>
      <c r="H211" t="n">
        <v>295</v>
      </c>
      <c r="I211" t="n">
        <v>560</v>
      </c>
      <c r="J211" t="n">
        <v>1720</v>
      </c>
      <c r="K211" t="n">
        <v>1250</v>
      </c>
      <c r="L211" t="n">
        <v>3250</v>
      </c>
      <c r="M211" t="n">
        <v>300</v>
      </c>
      <c r="N211" s="6" t="n">
        <v>9330</v>
      </c>
      <c r="O211">
        <f>SUM(C211:H211)</f>
        <v/>
      </c>
      <c r="P211">
        <f>I211</f>
        <v/>
      </c>
      <c r="Q211">
        <f>J211</f>
        <v/>
      </c>
      <c r="R211">
        <f>SUM(K211:M211)</f>
        <v/>
      </c>
      <c r="S211">
        <f>SUM(O211:R211)</f>
        <v/>
      </c>
      <c r="T211" s="3">
        <f>IF(S211=0,"",O211/S211)</f>
        <v/>
      </c>
      <c r="U211" s="3">
        <f>IF(S211=0,"",P211/S211)</f>
        <v/>
      </c>
      <c r="V211" s="3">
        <f>IF(S211=0,"",Q211/S211)</f>
        <v/>
      </c>
      <c r="W211" s="3">
        <f>IF(S211=0,"",R211/S211)</f>
        <v/>
      </c>
      <c r="X211" s="4">
        <f>IF(S211=0,"",T211*Pesos!$B$2+U211*Pesos!$B$3+V211*Pesos!$B$4+W211*Pesos!$B$5)</f>
        <v/>
      </c>
    </row>
    <row r="212">
      <c r="A212" s="2" t="n">
        <v>211</v>
      </c>
      <c r="B212" t="n">
        <v>12</v>
      </c>
      <c r="C212" t="n">
        <v>355</v>
      </c>
      <c r="D212" t="n">
        <v>600</v>
      </c>
      <c r="E212" t="n">
        <v>310</v>
      </c>
      <c r="F212" t="n">
        <v>355</v>
      </c>
      <c r="G212" t="n">
        <v>320</v>
      </c>
      <c r="H212" t="n">
        <v>380</v>
      </c>
      <c r="I212" t="n">
        <v>1255</v>
      </c>
      <c r="J212" t="n">
        <v>2290</v>
      </c>
      <c r="K212" t="n">
        <v>5185</v>
      </c>
      <c r="L212" t="n">
        <v>2295</v>
      </c>
      <c r="M212" t="n">
        <v>125</v>
      </c>
      <c r="N212" s="6" t="n">
        <v>13465</v>
      </c>
      <c r="O212">
        <f>SUM(C212:H212)</f>
        <v/>
      </c>
      <c r="P212">
        <f>I212</f>
        <v/>
      </c>
      <c r="Q212">
        <f>J212</f>
        <v/>
      </c>
      <c r="R212">
        <f>SUM(K212:M212)</f>
        <v/>
      </c>
      <c r="S212">
        <f>SUM(O212:R212)</f>
        <v/>
      </c>
      <c r="T212" s="3">
        <f>IF(S212=0,"",O212/S212)</f>
        <v/>
      </c>
      <c r="U212" s="3">
        <f>IF(S212=0,"",P212/S212)</f>
        <v/>
      </c>
      <c r="V212" s="3">
        <f>IF(S212=0,"",Q212/S212)</f>
        <v/>
      </c>
      <c r="W212" s="3">
        <f>IF(S212=0,"",R212/S212)</f>
        <v/>
      </c>
      <c r="X212" s="4">
        <f>IF(S212=0,"",T212*Pesos!$B$2+U212*Pesos!$B$3+V212*Pesos!$B$4+W212*Pesos!$B$5)</f>
        <v/>
      </c>
    </row>
    <row r="213">
      <c r="A213" s="2" t="n">
        <v>212</v>
      </c>
      <c r="B213" t="n">
        <v>8</v>
      </c>
      <c r="C213" t="n">
        <v>690</v>
      </c>
      <c r="D213" t="n">
        <v>535</v>
      </c>
      <c r="E213" t="n">
        <v>390</v>
      </c>
      <c r="F213" t="n">
        <v>200</v>
      </c>
      <c r="G213" t="n">
        <v>370</v>
      </c>
      <c r="H213" t="n">
        <v>490</v>
      </c>
      <c r="I213" t="n">
        <v>925</v>
      </c>
      <c r="J213" t="n">
        <v>1175</v>
      </c>
      <c r="K213" t="n">
        <v>765</v>
      </c>
      <c r="L213" t="n">
        <v>1755</v>
      </c>
      <c r="M213" t="n">
        <v>635</v>
      </c>
      <c r="N213" s="6" t="n">
        <v>7925</v>
      </c>
      <c r="O213">
        <f>SUM(C213:H213)</f>
        <v/>
      </c>
      <c r="P213">
        <f>I213</f>
        <v/>
      </c>
      <c r="Q213">
        <f>J213</f>
        <v/>
      </c>
      <c r="R213">
        <f>SUM(K213:M213)</f>
        <v/>
      </c>
      <c r="S213">
        <f>SUM(O213:R213)</f>
        <v/>
      </c>
      <c r="T213" s="3">
        <f>IF(S213=0,"",O213/S213)</f>
        <v/>
      </c>
      <c r="U213" s="3">
        <f>IF(S213=0,"",P213/S213)</f>
        <v/>
      </c>
      <c r="V213" s="3">
        <f>IF(S213=0,"",Q213/S213)</f>
        <v/>
      </c>
      <c r="W213" s="3">
        <f>IF(S213=0,"",R213/S213)</f>
        <v/>
      </c>
      <c r="X213" s="4">
        <f>IF(S213=0,"",T213*Pesos!$B$2+U213*Pesos!$B$3+V213*Pesos!$B$4+W213*Pesos!$B$5)</f>
        <v/>
      </c>
    </row>
    <row r="214">
      <c r="A214" s="2" t="n">
        <v>213</v>
      </c>
      <c r="B214" t="n">
        <v>8</v>
      </c>
      <c r="C214" t="n">
        <v>875</v>
      </c>
      <c r="D214" t="n">
        <v>1290</v>
      </c>
      <c r="E214" t="n">
        <v>680</v>
      </c>
      <c r="F214" t="n">
        <v>840</v>
      </c>
      <c r="G214" t="n">
        <v>850</v>
      </c>
      <c r="H214" t="n">
        <v>725</v>
      </c>
      <c r="I214" t="n">
        <v>1950</v>
      </c>
      <c r="J214" t="n">
        <v>1990</v>
      </c>
      <c r="K214" t="n">
        <v>2320</v>
      </c>
      <c r="L214" t="n">
        <v>960</v>
      </c>
      <c r="M214" t="n">
        <v>520</v>
      </c>
      <c r="N214" s="6" t="n">
        <v>13000</v>
      </c>
      <c r="O214">
        <f>SUM(C214:H214)</f>
        <v/>
      </c>
      <c r="P214">
        <f>I214</f>
        <v/>
      </c>
      <c r="Q214">
        <f>J214</f>
        <v/>
      </c>
      <c r="R214">
        <f>SUM(K214:M214)</f>
        <v/>
      </c>
      <c r="S214">
        <f>SUM(O214:R214)</f>
        <v/>
      </c>
      <c r="T214" s="3">
        <f>IF(S214=0,"",O214/S214)</f>
        <v/>
      </c>
      <c r="U214" s="3">
        <f>IF(S214=0,"",P214/S214)</f>
        <v/>
      </c>
      <c r="V214" s="3">
        <f>IF(S214=0,"",Q214/S214)</f>
        <v/>
      </c>
      <c r="W214" s="3">
        <f>IF(S214=0,"",R214/S214)</f>
        <v/>
      </c>
      <c r="X214" s="4">
        <f>IF(S214=0,"",T214*Pesos!$B$2+U214*Pesos!$B$3+V214*Pesos!$B$4+W214*Pesos!$B$5)</f>
        <v/>
      </c>
    </row>
    <row r="215">
      <c r="A215" s="2" t="n">
        <v>214</v>
      </c>
      <c r="B215" t="n">
        <v>9</v>
      </c>
      <c r="C215" t="n">
        <v>480</v>
      </c>
      <c r="D215" t="n">
        <v>675</v>
      </c>
      <c r="E215" t="n">
        <v>365</v>
      </c>
      <c r="F215" t="n">
        <v>435</v>
      </c>
      <c r="G215" t="n">
        <v>375</v>
      </c>
      <c r="H215" t="n">
        <v>370</v>
      </c>
      <c r="I215" t="n">
        <v>1055</v>
      </c>
      <c r="J215" t="n">
        <v>1600</v>
      </c>
      <c r="K215" t="n">
        <v>1890</v>
      </c>
      <c r="L215" t="n">
        <v>3200</v>
      </c>
      <c r="M215" t="n">
        <v>455</v>
      </c>
      <c r="N215" s="6" t="n">
        <v>10895</v>
      </c>
      <c r="O215">
        <f>SUM(C215:H215)</f>
        <v/>
      </c>
      <c r="P215">
        <f>I215</f>
        <v/>
      </c>
      <c r="Q215">
        <f>J215</f>
        <v/>
      </c>
      <c r="R215">
        <f>SUM(K215:M215)</f>
        <v/>
      </c>
      <c r="S215">
        <f>SUM(O215:R215)</f>
        <v/>
      </c>
      <c r="T215" s="3">
        <f>IF(S215=0,"",O215/S215)</f>
        <v/>
      </c>
      <c r="U215" s="3">
        <f>IF(S215=0,"",P215/S215)</f>
        <v/>
      </c>
      <c r="V215" s="3">
        <f>IF(S215=0,"",Q215/S215)</f>
        <v/>
      </c>
      <c r="W215" s="3">
        <f>IF(S215=0,"",R215/S215)</f>
        <v/>
      </c>
      <c r="X215" s="4">
        <f>IF(S215=0,"",T215*Pesos!$B$2+U215*Pesos!$B$3+V215*Pesos!$B$4+W215*Pesos!$B$5)</f>
        <v/>
      </c>
    </row>
    <row r="216">
      <c r="A216" s="2" t="n">
        <v>215</v>
      </c>
      <c r="B216" t="n">
        <v>7</v>
      </c>
      <c r="C216" t="n">
        <v>355</v>
      </c>
      <c r="D216" t="n">
        <v>410</v>
      </c>
      <c r="E216" t="n">
        <v>705</v>
      </c>
      <c r="F216" t="n">
        <v>445</v>
      </c>
      <c r="G216" t="n">
        <v>115</v>
      </c>
      <c r="H216" t="n">
        <v>170</v>
      </c>
      <c r="I216" t="n">
        <v>915</v>
      </c>
      <c r="J216" t="n">
        <v>1195</v>
      </c>
      <c r="K216" t="n">
        <v>610</v>
      </c>
      <c r="L216" t="n">
        <v>730</v>
      </c>
      <c r="M216" t="n">
        <v>1440</v>
      </c>
      <c r="N216" s="6" t="n">
        <v>7095</v>
      </c>
      <c r="O216">
        <f>SUM(C216:H216)</f>
        <v/>
      </c>
      <c r="P216">
        <f>I216</f>
        <v/>
      </c>
      <c r="Q216">
        <f>J216</f>
        <v/>
      </c>
      <c r="R216">
        <f>SUM(K216:M216)</f>
        <v/>
      </c>
      <c r="S216">
        <f>SUM(O216:R216)</f>
        <v/>
      </c>
      <c r="T216" s="3">
        <f>IF(S216=0,"",O216/S216)</f>
        <v/>
      </c>
      <c r="U216" s="3">
        <f>IF(S216=0,"",P216/S216)</f>
        <v/>
      </c>
      <c r="V216" s="3">
        <f>IF(S216=0,"",Q216/S216)</f>
        <v/>
      </c>
      <c r="W216" s="3">
        <f>IF(S216=0,"",R216/S216)</f>
        <v/>
      </c>
      <c r="X216" s="4">
        <f>IF(S216=0,"",T216*Pesos!$B$2+U216*Pesos!$B$3+V216*Pesos!$B$4+W216*Pesos!$B$5)</f>
        <v/>
      </c>
    </row>
    <row r="217">
      <c r="A217" s="2" t="n">
        <v>216</v>
      </c>
      <c r="B217" t="n">
        <v>7</v>
      </c>
      <c r="C217" t="n">
        <v>445</v>
      </c>
      <c r="D217" t="n">
        <v>605</v>
      </c>
      <c r="E217" t="n">
        <v>285</v>
      </c>
      <c r="F217" t="n">
        <v>490</v>
      </c>
      <c r="G217" t="n">
        <v>185</v>
      </c>
      <c r="H217" t="n">
        <v>235</v>
      </c>
      <c r="I217" t="n">
        <v>695</v>
      </c>
      <c r="J217" t="n">
        <v>905</v>
      </c>
      <c r="K217" t="n">
        <v>700</v>
      </c>
      <c r="L217" t="n">
        <v>1005</v>
      </c>
      <c r="M217" t="n">
        <v>1015</v>
      </c>
      <c r="N217" s="6" t="n">
        <v>6555</v>
      </c>
      <c r="O217">
        <f>SUM(C217:H217)</f>
        <v/>
      </c>
      <c r="P217">
        <f>I217</f>
        <v/>
      </c>
      <c r="Q217">
        <f>J217</f>
        <v/>
      </c>
      <c r="R217">
        <f>SUM(K217:M217)</f>
        <v/>
      </c>
      <c r="S217">
        <f>SUM(O217:R217)</f>
        <v/>
      </c>
      <c r="T217" s="3">
        <f>IF(S217=0,"",O217/S217)</f>
        <v/>
      </c>
      <c r="U217" s="3">
        <f>IF(S217=0,"",P217/S217)</f>
        <v/>
      </c>
      <c r="V217" s="3">
        <f>IF(S217=0,"",Q217/S217)</f>
        <v/>
      </c>
      <c r="W217" s="3">
        <f>IF(S217=0,"",R217/S217)</f>
        <v/>
      </c>
      <c r="X217" s="4">
        <f>IF(S217=0,"",T217*Pesos!$B$2+U217*Pesos!$B$3+V217*Pesos!$B$4+W217*Pesos!$B$5)</f>
        <v/>
      </c>
    </row>
    <row r="218">
      <c r="A218" s="2" t="n">
        <v>217</v>
      </c>
      <c r="B218" t="n">
        <v>7</v>
      </c>
      <c r="C218" t="n">
        <v>535</v>
      </c>
      <c r="D218" t="n">
        <v>565</v>
      </c>
      <c r="E218" t="n">
        <v>490</v>
      </c>
      <c r="F218" t="n">
        <v>200</v>
      </c>
      <c r="G218" t="n">
        <v>125</v>
      </c>
      <c r="H218" t="n">
        <v>135</v>
      </c>
      <c r="I218" t="n">
        <v>445</v>
      </c>
      <c r="J218" t="n">
        <v>740</v>
      </c>
      <c r="K218" t="n">
        <v>720</v>
      </c>
      <c r="L218" t="n">
        <v>900</v>
      </c>
      <c r="M218" t="n">
        <v>925</v>
      </c>
      <c r="N218" s="6" t="n">
        <v>5785</v>
      </c>
      <c r="O218">
        <f>SUM(C218:H218)</f>
        <v/>
      </c>
      <c r="P218">
        <f>I218</f>
        <v/>
      </c>
      <c r="Q218">
        <f>J218</f>
        <v/>
      </c>
      <c r="R218">
        <f>SUM(K218:M218)</f>
        <v/>
      </c>
      <c r="S218">
        <f>SUM(O218:R218)</f>
        <v/>
      </c>
      <c r="T218" s="3">
        <f>IF(S218=0,"",O218/S218)</f>
        <v/>
      </c>
      <c r="U218" s="3">
        <f>IF(S218=0,"",P218/S218)</f>
        <v/>
      </c>
      <c r="V218" s="3">
        <f>IF(S218=0,"",Q218/S218)</f>
        <v/>
      </c>
      <c r="W218" s="3">
        <f>IF(S218=0,"",R218/S218)</f>
        <v/>
      </c>
      <c r="X218" s="4">
        <f>IF(S218=0,"",T218*Pesos!$B$2+U218*Pesos!$B$3+V218*Pesos!$B$4+W218*Pesos!$B$5)</f>
        <v/>
      </c>
    </row>
    <row r="219">
      <c r="A219" s="2" t="n">
        <v>218</v>
      </c>
      <c r="B219" t="n">
        <v>7</v>
      </c>
      <c r="C219" t="n">
        <v>155</v>
      </c>
      <c r="D219" t="n">
        <v>380</v>
      </c>
      <c r="E219" t="n">
        <v>325</v>
      </c>
      <c r="F219" t="n">
        <v>125</v>
      </c>
      <c r="G219" t="n">
        <v>75</v>
      </c>
      <c r="H219" t="n">
        <v>250</v>
      </c>
      <c r="I219" t="n">
        <v>550</v>
      </c>
      <c r="J219" t="n">
        <v>1135</v>
      </c>
      <c r="K219" t="n">
        <v>1985</v>
      </c>
      <c r="L219" t="n">
        <v>1550</v>
      </c>
      <c r="M219" t="n">
        <v>210</v>
      </c>
      <c r="N219" s="6" t="n">
        <v>6740</v>
      </c>
      <c r="O219">
        <f>SUM(C219:H219)</f>
        <v/>
      </c>
      <c r="P219">
        <f>I219</f>
        <v/>
      </c>
      <c r="Q219">
        <f>J219</f>
        <v/>
      </c>
      <c r="R219">
        <f>SUM(K219:M219)</f>
        <v/>
      </c>
      <c r="S219">
        <f>SUM(O219:R219)</f>
        <v/>
      </c>
      <c r="T219" s="3">
        <f>IF(S219=0,"",O219/S219)</f>
        <v/>
      </c>
      <c r="U219" s="3">
        <f>IF(S219=0,"",P219/S219)</f>
        <v/>
      </c>
      <c r="V219" s="3">
        <f>IF(S219=0,"",Q219/S219)</f>
        <v/>
      </c>
      <c r="W219" s="3">
        <f>IF(S219=0,"",R219/S219)</f>
        <v/>
      </c>
      <c r="X219" s="4">
        <f>IF(S219=0,"",T219*Pesos!$B$2+U219*Pesos!$B$3+V219*Pesos!$B$4+W219*Pesos!$B$5)</f>
        <v/>
      </c>
    </row>
    <row r="220">
      <c r="A220" s="2" t="n">
        <v>219</v>
      </c>
      <c r="B220" t="n">
        <v>7</v>
      </c>
      <c r="C220" t="n">
        <v>220</v>
      </c>
      <c r="D220" t="n">
        <v>325</v>
      </c>
      <c r="E220" t="n">
        <v>445</v>
      </c>
      <c r="F220" t="n">
        <v>330</v>
      </c>
      <c r="G220" t="n">
        <v>310</v>
      </c>
      <c r="H220" t="n">
        <v>285</v>
      </c>
      <c r="I220" t="n">
        <v>1000</v>
      </c>
      <c r="J220" t="n">
        <v>2580</v>
      </c>
      <c r="K220" t="n">
        <v>3975</v>
      </c>
      <c r="L220" t="n">
        <v>405</v>
      </c>
      <c r="M220" s="7" t="n">
        <v>40</v>
      </c>
      <c r="N220" s="6" t="n">
        <v>9925</v>
      </c>
      <c r="O220">
        <f>SUM(C220:H220)</f>
        <v/>
      </c>
      <c r="P220">
        <f>I220</f>
        <v/>
      </c>
      <c r="Q220">
        <f>J220</f>
        <v/>
      </c>
      <c r="R220">
        <f>SUM(K220:M220)</f>
        <v/>
      </c>
      <c r="S220">
        <f>SUM(O220:R220)</f>
        <v/>
      </c>
      <c r="T220" s="3">
        <f>IF(S220=0,"",O220/S220)</f>
        <v/>
      </c>
      <c r="U220" s="3">
        <f>IF(S220=0,"",P220/S220)</f>
        <v/>
      </c>
      <c r="V220" s="3">
        <f>IF(S220=0,"",Q220/S220)</f>
        <v/>
      </c>
      <c r="W220" s="3">
        <f>IF(S220=0,"",R220/S220)</f>
        <v/>
      </c>
      <c r="X220" s="4">
        <f>IF(S220=0,"",T220*Pesos!$B$2+U220*Pesos!$B$3+V220*Pesos!$B$4+W220*Pesos!$B$5)</f>
        <v/>
      </c>
    </row>
    <row r="221">
      <c r="A221" s="2" t="n">
        <v>220</v>
      </c>
      <c r="B221" t="n">
        <v>8</v>
      </c>
      <c r="C221" t="n">
        <v>540</v>
      </c>
      <c r="D221" t="n">
        <v>520</v>
      </c>
      <c r="E221" t="n">
        <v>275</v>
      </c>
      <c r="F221" t="n">
        <v>490</v>
      </c>
      <c r="G221" t="n">
        <v>255</v>
      </c>
      <c r="H221" t="n">
        <v>275</v>
      </c>
      <c r="I221" t="n">
        <v>1255</v>
      </c>
      <c r="J221" t="n">
        <v>1090</v>
      </c>
      <c r="K221" t="n">
        <v>1150</v>
      </c>
      <c r="L221" t="n">
        <v>780</v>
      </c>
      <c r="M221" t="n">
        <v>1125</v>
      </c>
      <c r="N221" s="6" t="n">
        <v>7750</v>
      </c>
      <c r="O221">
        <f>SUM(C221:H221)</f>
        <v/>
      </c>
      <c r="P221">
        <f>I221</f>
        <v/>
      </c>
      <c r="Q221">
        <f>J221</f>
        <v/>
      </c>
      <c r="R221">
        <f>SUM(K221:M221)</f>
        <v/>
      </c>
      <c r="S221">
        <f>SUM(O221:R221)</f>
        <v/>
      </c>
      <c r="T221" s="3">
        <f>IF(S221=0,"",O221/S221)</f>
        <v/>
      </c>
      <c r="U221" s="3">
        <f>IF(S221=0,"",P221/S221)</f>
        <v/>
      </c>
      <c r="V221" s="3">
        <f>IF(S221=0,"",Q221/S221)</f>
        <v/>
      </c>
      <c r="W221" s="3">
        <f>IF(S221=0,"",R221/S221)</f>
        <v/>
      </c>
      <c r="X221" s="4">
        <f>IF(S221=0,"",T221*Pesos!$B$2+U221*Pesos!$B$3+V221*Pesos!$B$4+W221*Pesos!$B$5)</f>
        <v/>
      </c>
    </row>
    <row r="222">
      <c r="A222" s="2" t="n">
        <v>221</v>
      </c>
      <c r="B222" t="n">
        <v>10</v>
      </c>
      <c r="C222" t="n">
        <v>2455</v>
      </c>
      <c r="D222" t="n">
        <v>3765</v>
      </c>
      <c r="E222" t="n">
        <v>4395</v>
      </c>
      <c r="F222" t="n">
        <v>3685</v>
      </c>
      <c r="G222" t="n">
        <v>3875</v>
      </c>
      <c r="H222" t="n">
        <v>3720</v>
      </c>
      <c r="I222" t="n">
        <v>5375</v>
      </c>
      <c r="J222" t="n">
        <v>1460</v>
      </c>
      <c r="K222" t="n">
        <v>160</v>
      </c>
      <c r="L222" t="n">
        <v>190</v>
      </c>
      <c r="M222" t="n">
        <v>255</v>
      </c>
      <c r="N222" s="6" t="n">
        <v>29340</v>
      </c>
      <c r="O222">
        <f>SUM(C222:H222)</f>
        <v/>
      </c>
      <c r="P222">
        <f>I222</f>
        <v/>
      </c>
      <c r="Q222">
        <f>J222</f>
        <v/>
      </c>
      <c r="R222">
        <f>SUM(K222:M222)</f>
        <v/>
      </c>
      <c r="S222">
        <f>SUM(O222:R222)</f>
        <v/>
      </c>
      <c r="T222" s="3">
        <f>IF(S222=0,"",O222/S222)</f>
        <v/>
      </c>
      <c r="U222" s="3">
        <f>IF(S222=0,"",P222/S222)</f>
        <v/>
      </c>
      <c r="V222" s="3">
        <f>IF(S222=0,"",Q222/S222)</f>
        <v/>
      </c>
      <c r="W222" s="3">
        <f>IF(S222=0,"",R222/S222)</f>
        <v/>
      </c>
      <c r="X222" s="4">
        <f>IF(S222=0,"",T222*Pesos!$B$2+U222*Pesos!$B$3+V222*Pesos!$B$4+W222*Pesos!$B$5)</f>
        <v/>
      </c>
    </row>
    <row r="223">
      <c r="A223" s="2" t="n">
        <v>222</v>
      </c>
      <c r="B223" t="n">
        <v>7</v>
      </c>
      <c r="C223" t="n">
        <v>1190</v>
      </c>
      <c r="D223" t="n">
        <v>1585</v>
      </c>
      <c r="E223" t="n">
        <v>1115</v>
      </c>
      <c r="F223" t="n">
        <v>895</v>
      </c>
      <c r="G223" t="n">
        <v>1325</v>
      </c>
      <c r="H223" t="n">
        <v>1750</v>
      </c>
      <c r="I223" t="n">
        <v>2575</v>
      </c>
      <c r="J223" t="n">
        <v>6005</v>
      </c>
      <c r="K223" t="n">
        <v>130</v>
      </c>
      <c r="L223" t="n">
        <v>100</v>
      </c>
      <c r="M223" t="n">
        <v>120</v>
      </c>
      <c r="N223" s="6" t="n">
        <v>16795</v>
      </c>
      <c r="O223">
        <f>SUM(C223:H223)</f>
        <v/>
      </c>
      <c r="P223">
        <f>I223</f>
        <v/>
      </c>
      <c r="Q223">
        <f>J223</f>
        <v/>
      </c>
      <c r="R223">
        <f>SUM(K223:M223)</f>
        <v/>
      </c>
      <c r="S223">
        <f>SUM(O223:R223)</f>
        <v/>
      </c>
      <c r="T223" s="3">
        <f>IF(S223=0,"",O223/S223)</f>
        <v/>
      </c>
      <c r="U223" s="3">
        <f>IF(S223=0,"",P223/S223)</f>
        <v/>
      </c>
      <c r="V223" s="3">
        <f>IF(S223=0,"",Q223/S223)</f>
        <v/>
      </c>
      <c r="W223" s="3">
        <f>IF(S223=0,"",R223/S223)</f>
        <v/>
      </c>
      <c r="X223" s="4">
        <f>IF(S223=0,"",T223*Pesos!$B$2+U223*Pesos!$B$3+V223*Pesos!$B$4+W223*Pesos!$B$5)</f>
        <v/>
      </c>
    </row>
    <row r="224">
      <c r="A224" s="2" t="n">
        <v>223</v>
      </c>
      <c r="B224" t="n">
        <v>10</v>
      </c>
      <c r="C224" t="n">
        <v>365</v>
      </c>
      <c r="D224" t="n">
        <v>1095</v>
      </c>
      <c r="E224" t="n">
        <v>670</v>
      </c>
      <c r="F224" t="n">
        <v>670</v>
      </c>
      <c r="G224" t="n">
        <v>1020</v>
      </c>
      <c r="H224" t="n">
        <v>590</v>
      </c>
      <c r="I224" t="n">
        <v>2200</v>
      </c>
      <c r="J224" t="n">
        <v>3350</v>
      </c>
      <c r="K224" t="n">
        <v>1980</v>
      </c>
      <c r="L224" t="n">
        <v>1270</v>
      </c>
      <c r="M224" t="n">
        <v>645</v>
      </c>
      <c r="N224" s="6" t="n">
        <v>13850</v>
      </c>
      <c r="O224">
        <f>SUM(C224:H224)</f>
        <v/>
      </c>
      <c r="P224">
        <f>I224</f>
        <v/>
      </c>
      <c r="Q224">
        <f>J224</f>
        <v/>
      </c>
      <c r="R224">
        <f>SUM(K224:M224)</f>
        <v/>
      </c>
      <c r="S224">
        <f>SUM(O224:R224)</f>
        <v/>
      </c>
      <c r="T224" s="3">
        <f>IF(S224=0,"",O224/S224)</f>
        <v/>
      </c>
      <c r="U224" s="3">
        <f>IF(S224=0,"",P224/S224)</f>
        <v/>
      </c>
      <c r="V224" s="3">
        <f>IF(S224=0,"",Q224/S224)</f>
        <v/>
      </c>
      <c r="W224" s="3">
        <f>IF(S224=0,"",R224/S224)</f>
        <v/>
      </c>
      <c r="X224" s="4">
        <f>IF(S224=0,"",T224*Pesos!$B$2+U224*Pesos!$B$3+V224*Pesos!$B$4+W224*Pesos!$B$5)</f>
        <v/>
      </c>
    </row>
    <row r="225">
      <c r="A225" s="2" t="n">
        <v>224</v>
      </c>
      <c r="B225" t="n">
        <v>7</v>
      </c>
      <c r="C225" t="n">
        <v>1195</v>
      </c>
      <c r="D225" t="n">
        <v>1660</v>
      </c>
      <c r="E225" t="n">
        <v>1495</v>
      </c>
      <c r="F225" t="n">
        <v>1445</v>
      </c>
      <c r="G225" t="n">
        <v>2320</v>
      </c>
      <c r="H225" t="n">
        <v>2480</v>
      </c>
      <c r="I225" t="n">
        <v>2710</v>
      </c>
      <c r="J225" t="n">
        <v>3230</v>
      </c>
      <c r="K225" t="n">
        <v>105</v>
      </c>
      <c r="L225" s="7" t="n">
        <v>50</v>
      </c>
      <c r="M225" t="n">
        <v>75</v>
      </c>
      <c r="N225" s="6" t="n">
        <v>16765</v>
      </c>
      <c r="O225">
        <f>SUM(C225:H225)</f>
        <v/>
      </c>
      <c r="P225">
        <f>I225</f>
        <v/>
      </c>
      <c r="Q225">
        <f>J225</f>
        <v/>
      </c>
      <c r="R225">
        <f>SUM(K225:M225)</f>
        <v/>
      </c>
      <c r="S225">
        <f>SUM(O225:R225)</f>
        <v/>
      </c>
      <c r="T225" s="3">
        <f>IF(S225=0,"",O225/S225)</f>
        <v/>
      </c>
      <c r="U225" s="3">
        <f>IF(S225=0,"",P225/S225)</f>
        <v/>
      </c>
      <c r="V225" s="3">
        <f>IF(S225=0,"",Q225/S225)</f>
        <v/>
      </c>
      <c r="W225" s="3">
        <f>IF(S225=0,"",R225/S225)</f>
        <v/>
      </c>
      <c r="X225" s="4">
        <f>IF(S225=0,"",T225*Pesos!$B$2+U225*Pesos!$B$3+V225*Pesos!$B$4+W225*Pesos!$B$5)</f>
        <v/>
      </c>
    </row>
    <row r="226">
      <c r="A226" s="2" t="n">
        <v>225</v>
      </c>
      <c r="B226" t="n">
        <v>11</v>
      </c>
      <c r="C226" t="n">
        <v>865</v>
      </c>
      <c r="D226" t="n">
        <v>980</v>
      </c>
      <c r="E226" t="n">
        <v>480</v>
      </c>
      <c r="F226" t="n">
        <v>545</v>
      </c>
      <c r="G226" t="n">
        <v>530</v>
      </c>
      <c r="H226" t="n">
        <v>505</v>
      </c>
      <c r="I226" t="n">
        <v>2100</v>
      </c>
      <c r="J226" t="n">
        <v>2975</v>
      </c>
      <c r="K226" t="n">
        <v>1195</v>
      </c>
      <c r="L226" t="n">
        <v>935</v>
      </c>
      <c r="M226" t="n">
        <v>1860</v>
      </c>
      <c r="N226" s="6" t="n">
        <v>12975</v>
      </c>
      <c r="O226">
        <f>SUM(C226:H226)</f>
        <v/>
      </c>
      <c r="P226">
        <f>I226</f>
        <v/>
      </c>
      <c r="Q226">
        <f>J226</f>
        <v/>
      </c>
      <c r="R226">
        <f>SUM(K226:M226)</f>
        <v/>
      </c>
      <c r="S226">
        <f>SUM(O226:R226)</f>
        <v/>
      </c>
      <c r="T226" s="3">
        <f>IF(S226=0,"",O226/S226)</f>
        <v/>
      </c>
      <c r="U226" s="3">
        <f>IF(S226=0,"",P226/S226)</f>
        <v/>
      </c>
      <c r="V226" s="3">
        <f>IF(S226=0,"",Q226/S226)</f>
        <v/>
      </c>
      <c r="W226" s="3">
        <f>IF(S226=0,"",R226/S226)</f>
        <v/>
      </c>
      <c r="X226" s="4">
        <f>IF(S226=0,"",T226*Pesos!$B$2+U226*Pesos!$B$3+V226*Pesos!$B$4+W226*Pesos!$B$5)</f>
        <v/>
      </c>
    </row>
    <row r="227">
      <c r="A227" s="2" t="n">
        <v>226</v>
      </c>
      <c r="B227" t="n">
        <v>7</v>
      </c>
      <c r="C227" t="n">
        <v>890</v>
      </c>
      <c r="D227" t="n">
        <v>1470</v>
      </c>
      <c r="E227" t="n">
        <v>360</v>
      </c>
      <c r="F227" t="n">
        <v>420</v>
      </c>
      <c r="G227" t="n">
        <v>510</v>
      </c>
      <c r="H227" t="n">
        <v>365</v>
      </c>
      <c r="I227" t="n">
        <v>1045</v>
      </c>
      <c r="J227" t="n">
        <v>1255</v>
      </c>
      <c r="K227" t="n">
        <v>1255</v>
      </c>
      <c r="L227" t="n">
        <v>680</v>
      </c>
      <c r="M227" t="n">
        <v>880</v>
      </c>
      <c r="N227" s="6" t="n">
        <v>9130</v>
      </c>
      <c r="O227">
        <f>SUM(C227:H227)</f>
        <v/>
      </c>
      <c r="P227">
        <f>I227</f>
        <v/>
      </c>
      <c r="Q227">
        <f>J227</f>
        <v/>
      </c>
      <c r="R227">
        <f>SUM(K227:M227)</f>
        <v/>
      </c>
      <c r="S227">
        <f>SUM(O227:R227)</f>
        <v/>
      </c>
      <c r="T227" s="3">
        <f>IF(S227=0,"",O227/S227)</f>
        <v/>
      </c>
      <c r="U227" s="3">
        <f>IF(S227=0,"",P227/S227)</f>
        <v/>
      </c>
      <c r="V227" s="3">
        <f>IF(S227=0,"",Q227/S227)</f>
        <v/>
      </c>
      <c r="W227" s="3">
        <f>IF(S227=0,"",R227/S227)</f>
        <v/>
      </c>
      <c r="X227" s="4">
        <f>IF(S227=0,"",T227*Pesos!$B$2+U227*Pesos!$B$3+V227*Pesos!$B$4+W227*Pesos!$B$5)</f>
        <v/>
      </c>
    </row>
    <row r="228">
      <c r="A228" s="2" t="n">
        <v>227</v>
      </c>
      <c r="B228" t="n">
        <v>6</v>
      </c>
      <c r="C228" t="n">
        <v>220</v>
      </c>
      <c r="D228" t="n">
        <v>295</v>
      </c>
      <c r="E228" t="n">
        <v>285</v>
      </c>
      <c r="F228" t="n">
        <v>315</v>
      </c>
      <c r="G228" t="n">
        <v>145</v>
      </c>
      <c r="H228" t="n">
        <v>265</v>
      </c>
      <c r="I228" t="n">
        <v>785</v>
      </c>
      <c r="J228" t="n">
        <v>1565</v>
      </c>
      <c r="K228" t="n">
        <v>785</v>
      </c>
      <c r="L228" t="n">
        <v>510</v>
      </c>
      <c r="M228" t="n">
        <v>680</v>
      </c>
      <c r="N228" s="6" t="n">
        <v>5850</v>
      </c>
      <c r="O228">
        <f>SUM(C228:H228)</f>
        <v/>
      </c>
      <c r="P228">
        <f>I228</f>
        <v/>
      </c>
      <c r="Q228">
        <f>J228</f>
        <v/>
      </c>
      <c r="R228">
        <f>SUM(K228:M228)</f>
        <v/>
      </c>
      <c r="S228">
        <f>SUM(O228:R228)</f>
        <v/>
      </c>
      <c r="T228" s="3">
        <f>IF(S228=0,"",O228/S228)</f>
        <v/>
      </c>
      <c r="U228" s="3">
        <f>IF(S228=0,"",P228/S228)</f>
        <v/>
      </c>
      <c r="V228" s="3">
        <f>IF(S228=0,"",Q228/S228)</f>
        <v/>
      </c>
      <c r="W228" s="3">
        <f>IF(S228=0,"",R228/S228)</f>
        <v/>
      </c>
      <c r="X228" s="4">
        <f>IF(S228=0,"",T228*Pesos!$B$2+U228*Pesos!$B$3+V228*Pesos!$B$4+W228*Pesos!$B$5)</f>
        <v/>
      </c>
    </row>
    <row r="229">
      <c r="A229" s="2" t="n">
        <v>228</v>
      </c>
      <c r="B229" t="n">
        <v>7</v>
      </c>
      <c r="C229" t="n">
        <v>960</v>
      </c>
      <c r="D229" t="n">
        <v>505</v>
      </c>
      <c r="E229" t="n">
        <v>810</v>
      </c>
      <c r="F229" t="n">
        <v>470</v>
      </c>
      <c r="G229" t="n">
        <v>490</v>
      </c>
      <c r="H229" t="n">
        <v>290</v>
      </c>
      <c r="I229" t="n">
        <v>1155</v>
      </c>
      <c r="J229" t="n">
        <v>1145</v>
      </c>
      <c r="K229" t="n">
        <v>1235</v>
      </c>
      <c r="L229" t="n">
        <v>1065</v>
      </c>
      <c r="M229" t="n">
        <v>1000</v>
      </c>
      <c r="N229" s="6" t="n">
        <v>9130</v>
      </c>
      <c r="O229">
        <f>SUM(C229:H229)</f>
        <v/>
      </c>
      <c r="P229">
        <f>I229</f>
        <v/>
      </c>
      <c r="Q229">
        <f>J229</f>
        <v/>
      </c>
      <c r="R229">
        <f>SUM(K229:M229)</f>
        <v/>
      </c>
      <c r="S229">
        <f>SUM(O229:R229)</f>
        <v/>
      </c>
      <c r="T229" s="3">
        <f>IF(S229=0,"",O229/S229)</f>
        <v/>
      </c>
      <c r="U229" s="3">
        <f>IF(S229=0,"",P229/S229)</f>
        <v/>
      </c>
      <c r="V229" s="3">
        <f>IF(S229=0,"",Q229/S229)</f>
        <v/>
      </c>
      <c r="W229" s="3">
        <f>IF(S229=0,"",R229/S229)</f>
        <v/>
      </c>
      <c r="X229" s="4">
        <f>IF(S229=0,"",T229*Pesos!$B$2+U229*Pesos!$B$3+V229*Pesos!$B$4+W229*Pesos!$B$5)</f>
        <v/>
      </c>
    </row>
    <row r="230">
      <c r="A230" s="2" t="n">
        <v>229</v>
      </c>
      <c r="B230" t="n">
        <v>8</v>
      </c>
      <c r="C230" t="n">
        <v>630</v>
      </c>
      <c r="D230" t="n">
        <v>385</v>
      </c>
      <c r="E230" t="n">
        <v>875</v>
      </c>
      <c r="F230" t="n">
        <v>485</v>
      </c>
      <c r="G230" t="n">
        <v>305</v>
      </c>
      <c r="H230" t="n">
        <v>210</v>
      </c>
      <c r="I230" t="n">
        <v>1490</v>
      </c>
      <c r="J230" t="n">
        <v>2860</v>
      </c>
      <c r="K230" t="n">
        <v>1850</v>
      </c>
      <c r="L230" t="n">
        <v>1225</v>
      </c>
      <c r="M230" t="n">
        <v>935</v>
      </c>
      <c r="N230" s="6" t="n">
        <v>11250</v>
      </c>
      <c r="O230">
        <f>SUM(C230:H230)</f>
        <v/>
      </c>
      <c r="P230">
        <f>I230</f>
        <v/>
      </c>
      <c r="Q230">
        <f>J230</f>
        <v/>
      </c>
      <c r="R230">
        <f>SUM(K230:M230)</f>
        <v/>
      </c>
      <c r="S230">
        <f>SUM(O230:R230)</f>
        <v/>
      </c>
      <c r="T230" s="3">
        <f>IF(S230=0,"",O230/S230)</f>
        <v/>
      </c>
      <c r="U230" s="3">
        <f>IF(S230=0,"",P230/S230)</f>
        <v/>
      </c>
      <c r="V230" s="3">
        <f>IF(S230=0,"",Q230/S230)</f>
        <v/>
      </c>
      <c r="W230" s="3">
        <f>IF(S230=0,"",R230/S230)</f>
        <v/>
      </c>
      <c r="X230" s="4">
        <f>IF(S230=0,"",T230*Pesos!$B$2+U230*Pesos!$B$3+V230*Pesos!$B$4+W230*Pesos!$B$5)</f>
        <v/>
      </c>
    </row>
    <row r="231">
      <c r="A231" s="2" t="n">
        <v>230</v>
      </c>
      <c r="B231" t="n">
        <v>9</v>
      </c>
      <c r="C231" t="n">
        <v>940</v>
      </c>
      <c r="D231" t="n">
        <v>1300</v>
      </c>
      <c r="E231" t="n">
        <v>935</v>
      </c>
      <c r="F231" t="n">
        <v>1065</v>
      </c>
      <c r="G231" t="n">
        <v>1170</v>
      </c>
      <c r="H231" t="n">
        <v>1100</v>
      </c>
      <c r="I231" t="n">
        <v>4690</v>
      </c>
      <c r="J231" t="n">
        <v>3890</v>
      </c>
      <c r="K231" t="n">
        <v>1720</v>
      </c>
      <c r="L231" t="n">
        <v>1050</v>
      </c>
      <c r="M231" t="n">
        <v>545</v>
      </c>
      <c r="N231" s="6" t="n">
        <v>18410</v>
      </c>
      <c r="O231">
        <f>SUM(C231:H231)</f>
        <v/>
      </c>
      <c r="P231">
        <f>I231</f>
        <v/>
      </c>
      <c r="Q231">
        <f>J231</f>
        <v/>
      </c>
      <c r="R231">
        <f>SUM(K231:M231)</f>
        <v/>
      </c>
      <c r="S231">
        <f>SUM(O231:R231)</f>
        <v/>
      </c>
      <c r="T231" s="3">
        <f>IF(S231=0,"",O231/S231)</f>
        <v/>
      </c>
      <c r="U231" s="3">
        <f>IF(S231=0,"",P231/S231)</f>
        <v/>
      </c>
      <c r="V231" s="3">
        <f>IF(S231=0,"",Q231/S231)</f>
        <v/>
      </c>
      <c r="W231" s="3">
        <f>IF(S231=0,"",R231/S231)</f>
        <v/>
      </c>
      <c r="X231" s="4">
        <f>IF(S231=0,"",T231*Pesos!$B$2+U231*Pesos!$B$3+V231*Pesos!$B$4+W231*Pesos!$B$5)</f>
        <v/>
      </c>
    </row>
    <row r="232">
      <c r="A232" s="2" t="n">
        <v>231</v>
      </c>
      <c r="B232" t="n">
        <v>8</v>
      </c>
      <c r="C232" t="n">
        <v>865</v>
      </c>
      <c r="D232" t="n">
        <v>380</v>
      </c>
      <c r="E232" t="n">
        <v>495</v>
      </c>
      <c r="F232" t="n">
        <v>565</v>
      </c>
      <c r="G232" t="n">
        <v>595</v>
      </c>
      <c r="H232" t="n">
        <v>380</v>
      </c>
      <c r="I232" t="n">
        <v>1190</v>
      </c>
      <c r="J232" t="n">
        <v>1845</v>
      </c>
      <c r="K232" t="n">
        <v>2895</v>
      </c>
      <c r="L232" t="n">
        <v>1475</v>
      </c>
      <c r="M232" t="n">
        <v>595</v>
      </c>
      <c r="N232" s="6" t="n">
        <v>11275</v>
      </c>
      <c r="O232">
        <f>SUM(C232:H232)</f>
        <v/>
      </c>
      <c r="P232">
        <f>I232</f>
        <v/>
      </c>
      <c r="Q232">
        <f>J232</f>
        <v/>
      </c>
      <c r="R232">
        <f>SUM(K232:M232)</f>
        <v/>
      </c>
      <c r="S232">
        <f>SUM(O232:R232)</f>
        <v/>
      </c>
      <c r="T232" s="3">
        <f>IF(S232=0,"",O232/S232)</f>
        <v/>
      </c>
      <c r="U232" s="3">
        <f>IF(S232=0,"",P232/S232)</f>
        <v/>
      </c>
      <c r="V232" s="3">
        <f>IF(S232=0,"",Q232/S232)</f>
        <v/>
      </c>
      <c r="W232" s="3">
        <f>IF(S232=0,"",R232/S232)</f>
        <v/>
      </c>
      <c r="X232" s="4">
        <f>IF(S232=0,"",T232*Pesos!$B$2+U232*Pesos!$B$3+V232*Pesos!$B$4+W232*Pesos!$B$5)</f>
        <v/>
      </c>
    </row>
    <row r="233">
      <c r="A233" s="2" t="n">
        <v>232</v>
      </c>
      <c r="B233" t="n">
        <v>9</v>
      </c>
      <c r="C233" t="n">
        <v>615</v>
      </c>
      <c r="D233" t="n">
        <v>940</v>
      </c>
      <c r="E233" t="n">
        <v>730</v>
      </c>
      <c r="F233" t="n">
        <v>640</v>
      </c>
      <c r="G233" t="n">
        <v>555</v>
      </c>
      <c r="H233" t="n">
        <v>585</v>
      </c>
      <c r="I233" t="n">
        <v>1715</v>
      </c>
      <c r="J233" t="n">
        <v>2855</v>
      </c>
      <c r="K233" t="n">
        <v>1545</v>
      </c>
      <c r="L233" t="n">
        <v>1870</v>
      </c>
      <c r="M233" t="n">
        <v>1460</v>
      </c>
      <c r="N233" s="6" t="n">
        <v>13515</v>
      </c>
      <c r="O233">
        <f>SUM(C233:H233)</f>
        <v/>
      </c>
      <c r="P233">
        <f>I233</f>
        <v/>
      </c>
      <c r="Q233">
        <f>J233</f>
        <v/>
      </c>
      <c r="R233">
        <f>SUM(K233:M233)</f>
        <v/>
      </c>
      <c r="S233">
        <f>SUM(O233:R233)</f>
        <v/>
      </c>
      <c r="T233" s="3">
        <f>IF(S233=0,"",O233/S233)</f>
        <v/>
      </c>
      <c r="U233" s="3">
        <f>IF(S233=0,"",P233/S233)</f>
        <v/>
      </c>
      <c r="V233" s="3">
        <f>IF(S233=0,"",Q233/S233)</f>
        <v/>
      </c>
      <c r="W233" s="3">
        <f>IF(S233=0,"",R233/S233)</f>
        <v/>
      </c>
      <c r="X233" s="4">
        <f>IF(S233=0,"",T233*Pesos!$B$2+U233*Pesos!$B$3+V233*Pesos!$B$4+W233*Pesos!$B$5)</f>
        <v/>
      </c>
    </row>
    <row r="234">
      <c r="A234" s="2" t="n">
        <v>233</v>
      </c>
      <c r="B234" t="n">
        <v>8</v>
      </c>
      <c r="C234" t="n">
        <v>185</v>
      </c>
      <c r="D234" t="n">
        <v>295</v>
      </c>
      <c r="E234" t="n">
        <v>365</v>
      </c>
      <c r="F234" t="n">
        <v>300</v>
      </c>
      <c r="G234" t="n">
        <v>435</v>
      </c>
      <c r="H234" t="n">
        <v>520</v>
      </c>
      <c r="I234" t="n">
        <v>1250</v>
      </c>
      <c r="J234" t="n">
        <v>755</v>
      </c>
      <c r="K234" t="n">
        <v>1005</v>
      </c>
      <c r="L234" t="n">
        <v>655</v>
      </c>
      <c r="M234" t="n">
        <v>2140</v>
      </c>
      <c r="N234" s="6" t="n">
        <v>7910</v>
      </c>
      <c r="O234">
        <f>SUM(C234:H234)</f>
        <v/>
      </c>
      <c r="P234">
        <f>I234</f>
        <v/>
      </c>
      <c r="Q234">
        <f>J234</f>
        <v/>
      </c>
      <c r="R234">
        <f>SUM(K234:M234)</f>
        <v/>
      </c>
      <c r="S234">
        <f>SUM(O234:R234)</f>
        <v/>
      </c>
      <c r="T234" s="3">
        <f>IF(S234=0,"",O234/S234)</f>
        <v/>
      </c>
      <c r="U234" s="3">
        <f>IF(S234=0,"",P234/S234)</f>
        <v/>
      </c>
      <c r="V234" s="3">
        <f>IF(S234=0,"",Q234/S234)</f>
        <v/>
      </c>
      <c r="W234" s="3">
        <f>IF(S234=0,"",R234/S234)</f>
        <v/>
      </c>
      <c r="X234" s="4">
        <f>IF(S234=0,"",T234*Pesos!$B$2+U234*Pesos!$B$3+V234*Pesos!$B$4+W234*Pesos!$B$5)</f>
        <v/>
      </c>
    </row>
    <row r="235">
      <c r="A235" s="2" t="n">
        <v>234</v>
      </c>
      <c r="B235" t="n">
        <v>8</v>
      </c>
      <c r="C235" t="n">
        <v>720</v>
      </c>
      <c r="D235" t="n">
        <v>1720</v>
      </c>
      <c r="E235" t="n">
        <v>785</v>
      </c>
      <c r="F235" t="n">
        <v>1025</v>
      </c>
      <c r="G235" t="n">
        <v>695</v>
      </c>
      <c r="H235" t="n">
        <v>1145</v>
      </c>
      <c r="I235" t="n">
        <v>3330</v>
      </c>
      <c r="J235" t="n">
        <v>4395</v>
      </c>
      <c r="K235" t="n">
        <v>1815</v>
      </c>
      <c r="L235" t="n">
        <v>325</v>
      </c>
      <c r="M235" t="n">
        <v>245</v>
      </c>
      <c r="N235" s="6" t="n">
        <v>16200</v>
      </c>
      <c r="O235">
        <f>SUM(C235:H235)</f>
        <v/>
      </c>
      <c r="P235">
        <f>I235</f>
        <v/>
      </c>
      <c r="Q235">
        <f>J235</f>
        <v/>
      </c>
      <c r="R235">
        <f>SUM(K235:M235)</f>
        <v/>
      </c>
      <c r="S235">
        <f>SUM(O235:R235)</f>
        <v/>
      </c>
      <c r="T235" s="3">
        <f>IF(S235=0,"",O235/S235)</f>
        <v/>
      </c>
      <c r="U235" s="3">
        <f>IF(S235=0,"",P235/S235)</f>
        <v/>
      </c>
      <c r="V235" s="3">
        <f>IF(S235=0,"",Q235/S235)</f>
        <v/>
      </c>
      <c r="W235" s="3">
        <f>IF(S235=0,"",R235/S235)</f>
        <v/>
      </c>
      <c r="X235" s="4">
        <f>IF(S235=0,"",T235*Pesos!$B$2+U235*Pesos!$B$3+V235*Pesos!$B$4+W235*Pesos!$B$5)</f>
        <v/>
      </c>
    </row>
    <row r="236">
      <c r="A236" s="2" t="n">
        <v>235</v>
      </c>
      <c r="B236" t="n">
        <v>10</v>
      </c>
      <c r="C236" t="n">
        <v>670</v>
      </c>
      <c r="D236" t="n">
        <v>660</v>
      </c>
      <c r="E236" t="n">
        <v>245</v>
      </c>
      <c r="F236" t="n">
        <v>305</v>
      </c>
      <c r="G236" t="n">
        <v>150</v>
      </c>
      <c r="H236" t="n">
        <v>500</v>
      </c>
      <c r="I236" t="n">
        <v>1065</v>
      </c>
      <c r="J236" t="n">
        <v>1710</v>
      </c>
      <c r="K236" t="n">
        <v>1410</v>
      </c>
      <c r="L236" t="n">
        <v>560</v>
      </c>
      <c r="M236" t="n">
        <v>1790</v>
      </c>
      <c r="N236" s="6" t="n">
        <v>9070</v>
      </c>
      <c r="O236">
        <f>SUM(C236:H236)</f>
        <v/>
      </c>
      <c r="P236">
        <f>I236</f>
        <v/>
      </c>
      <c r="Q236">
        <f>J236</f>
        <v/>
      </c>
      <c r="R236">
        <f>SUM(K236:M236)</f>
        <v/>
      </c>
      <c r="S236">
        <f>SUM(O236:R236)</f>
        <v/>
      </c>
      <c r="T236" s="3">
        <f>IF(S236=0,"",O236/S236)</f>
        <v/>
      </c>
      <c r="U236" s="3">
        <f>IF(S236=0,"",P236/S236)</f>
        <v/>
      </c>
      <c r="V236" s="3">
        <f>IF(S236=0,"",Q236/S236)</f>
        <v/>
      </c>
      <c r="W236" s="3">
        <f>IF(S236=0,"",R236/S236)</f>
        <v/>
      </c>
      <c r="X236" s="4">
        <f>IF(S236=0,"",T236*Pesos!$B$2+U236*Pesos!$B$3+V236*Pesos!$B$4+W236*Pesos!$B$5)</f>
        <v/>
      </c>
    </row>
    <row r="237">
      <c r="A237" s="2" t="n">
        <v>236</v>
      </c>
      <c r="B237" t="n">
        <v>5</v>
      </c>
      <c r="C237" t="n">
        <v>495</v>
      </c>
      <c r="D237" t="n">
        <v>375</v>
      </c>
      <c r="E237" t="n">
        <v>260</v>
      </c>
      <c r="F237" t="n">
        <v>255</v>
      </c>
      <c r="G237" t="n">
        <v>295</v>
      </c>
      <c r="H237" t="n">
        <v>375</v>
      </c>
      <c r="I237" t="n">
        <v>2680</v>
      </c>
      <c r="J237" t="n">
        <v>4650</v>
      </c>
      <c r="K237" t="n">
        <v>450</v>
      </c>
      <c r="L237" t="n">
        <v>395</v>
      </c>
      <c r="M237" t="n">
        <v>255</v>
      </c>
      <c r="N237" s="6" t="n">
        <v>10480</v>
      </c>
      <c r="O237">
        <f>SUM(C237:H237)</f>
        <v/>
      </c>
      <c r="P237">
        <f>I237</f>
        <v/>
      </c>
      <c r="Q237">
        <f>J237</f>
        <v/>
      </c>
      <c r="R237">
        <f>SUM(K237:M237)</f>
        <v/>
      </c>
      <c r="S237">
        <f>SUM(O237:R237)</f>
        <v/>
      </c>
      <c r="T237" s="3">
        <f>IF(S237=0,"",O237/S237)</f>
        <v/>
      </c>
      <c r="U237" s="3">
        <f>IF(S237=0,"",P237/S237)</f>
        <v/>
      </c>
      <c r="V237" s="3">
        <f>IF(S237=0,"",Q237/S237)</f>
        <v/>
      </c>
      <c r="W237" s="3">
        <f>IF(S237=0,"",R237/S237)</f>
        <v/>
      </c>
      <c r="X237" s="4">
        <f>IF(S237=0,"",T237*Pesos!$B$2+U237*Pesos!$B$3+V237*Pesos!$B$4+W237*Pesos!$B$5)</f>
        <v/>
      </c>
    </row>
    <row r="238">
      <c r="A238" s="2" t="n">
        <v>237</v>
      </c>
      <c r="B238" t="n">
        <v>8</v>
      </c>
      <c r="C238" t="n">
        <v>180</v>
      </c>
      <c r="D238" t="n">
        <v>640</v>
      </c>
      <c r="E238" t="n">
        <v>560</v>
      </c>
      <c r="F238" t="n">
        <v>485</v>
      </c>
      <c r="G238" t="n">
        <v>260</v>
      </c>
      <c r="H238" t="n">
        <v>400</v>
      </c>
      <c r="I238" t="n">
        <v>1165</v>
      </c>
      <c r="J238" t="n">
        <v>1600</v>
      </c>
      <c r="K238" t="n">
        <v>910</v>
      </c>
      <c r="L238" t="n">
        <v>970</v>
      </c>
      <c r="M238" t="n">
        <v>1130</v>
      </c>
      <c r="N238" s="6" t="n">
        <v>8305</v>
      </c>
      <c r="O238">
        <f>SUM(C238:H238)</f>
        <v/>
      </c>
      <c r="P238">
        <f>I238</f>
        <v/>
      </c>
      <c r="Q238">
        <f>J238</f>
        <v/>
      </c>
      <c r="R238">
        <f>SUM(K238:M238)</f>
        <v/>
      </c>
      <c r="S238">
        <f>SUM(O238:R238)</f>
        <v/>
      </c>
      <c r="T238" s="3">
        <f>IF(S238=0,"",O238/S238)</f>
        <v/>
      </c>
      <c r="U238" s="3">
        <f>IF(S238=0,"",P238/S238)</f>
        <v/>
      </c>
      <c r="V238" s="3">
        <f>IF(S238=0,"",Q238/S238)</f>
        <v/>
      </c>
      <c r="W238" s="3">
        <f>IF(S238=0,"",R238/S238)</f>
        <v/>
      </c>
      <c r="X238" s="4">
        <f>IF(S238=0,"",T238*Pesos!$B$2+U238*Pesos!$B$3+V238*Pesos!$B$4+W238*Pesos!$B$5)</f>
        <v/>
      </c>
    </row>
    <row r="239">
      <c r="A239" s="2" t="n">
        <v>238</v>
      </c>
      <c r="B239" t="n">
        <v>12</v>
      </c>
      <c r="C239" t="n">
        <v>635</v>
      </c>
      <c r="D239" t="n">
        <v>845</v>
      </c>
      <c r="E239" t="n">
        <v>835</v>
      </c>
      <c r="F239" t="n">
        <v>530</v>
      </c>
      <c r="G239" t="n">
        <v>340</v>
      </c>
      <c r="H239" t="n">
        <v>500</v>
      </c>
      <c r="I239" t="n">
        <v>1470</v>
      </c>
      <c r="J239" t="n">
        <v>2160</v>
      </c>
      <c r="K239" t="n">
        <v>1700</v>
      </c>
      <c r="L239" t="n">
        <v>1155</v>
      </c>
      <c r="M239" t="n">
        <v>2140</v>
      </c>
      <c r="N239" s="6" t="n">
        <v>12310</v>
      </c>
      <c r="O239">
        <f>SUM(C239:H239)</f>
        <v/>
      </c>
      <c r="P239">
        <f>I239</f>
        <v/>
      </c>
      <c r="Q239">
        <f>J239</f>
        <v/>
      </c>
      <c r="R239">
        <f>SUM(K239:M239)</f>
        <v/>
      </c>
      <c r="S239">
        <f>SUM(O239:R239)</f>
        <v/>
      </c>
      <c r="T239" s="3">
        <f>IF(S239=0,"",O239/S239)</f>
        <v/>
      </c>
      <c r="U239" s="3">
        <f>IF(S239=0,"",P239/S239)</f>
        <v/>
      </c>
      <c r="V239" s="3">
        <f>IF(S239=0,"",Q239/S239)</f>
        <v/>
      </c>
      <c r="W239" s="3">
        <f>IF(S239=0,"",R239/S239)</f>
        <v/>
      </c>
      <c r="X239" s="4">
        <f>IF(S239=0,"",T239*Pesos!$B$2+U239*Pesos!$B$3+V239*Pesos!$B$4+W239*Pesos!$B$5)</f>
        <v/>
      </c>
    </row>
    <row r="240">
      <c r="A240" s="2" t="n">
        <v>239</v>
      </c>
      <c r="B240" t="n">
        <v>9</v>
      </c>
      <c r="C240" t="n">
        <v>720</v>
      </c>
      <c r="D240" t="n">
        <v>775</v>
      </c>
      <c r="E240" t="n">
        <v>585</v>
      </c>
      <c r="F240" t="n">
        <v>545</v>
      </c>
      <c r="G240" t="n">
        <v>460</v>
      </c>
      <c r="H240" t="n">
        <v>260</v>
      </c>
      <c r="I240" t="n">
        <v>1665</v>
      </c>
      <c r="J240" t="n">
        <v>1565</v>
      </c>
      <c r="K240" t="n">
        <v>845</v>
      </c>
      <c r="L240" t="n">
        <v>635</v>
      </c>
      <c r="M240" t="n">
        <v>1065</v>
      </c>
      <c r="N240" s="6" t="n">
        <v>9110</v>
      </c>
      <c r="O240">
        <f>SUM(C240:H240)</f>
        <v/>
      </c>
      <c r="P240">
        <f>I240</f>
        <v/>
      </c>
      <c r="Q240">
        <f>J240</f>
        <v/>
      </c>
      <c r="R240">
        <f>SUM(K240:M240)</f>
        <v/>
      </c>
      <c r="S240">
        <f>SUM(O240:R240)</f>
        <v/>
      </c>
      <c r="T240" s="3">
        <f>IF(S240=0,"",O240/S240)</f>
        <v/>
      </c>
      <c r="U240" s="3">
        <f>IF(S240=0,"",P240/S240)</f>
        <v/>
      </c>
      <c r="V240" s="3">
        <f>IF(S240=0,"",Q240/S240)</f>
        <v/>
      </c>
      <c r="W240" s="3">
        <f>IF(S240=0,"",R240/S240)</f>
        <v/>
      </c>
      <c r="X240" s="4">
        <f>IF(S240=0,"",T240*Pesos!$B$2+U240*Pesos!$B$3+V240*Pesos!$B$4+W240*Pesos!$B$5)</f>
        <v/>
      </c>
    </row>
    <row r="241">
      <c r="A241" s="2" t="n">
        <v>240</v>
      </c>
      <c r="B241" t="n">
        <v>8</v>
      </c>
      <c r="C241" t="n">
        <v>1640</v>
      </c>
      <c r="D241" t="n">
        <v>970</v>
      </c>
      <c r="E241" t="n">
        <v>475</v>
      </c>
      <c r="F241" t="n">
        <v>305</v>
      </c>
      <c r="G241" t="n">
        <v>615</v>
      </c>
      <c r="H241" t="n">
        <v>585</v>
      </c>
      <c r="I241" t="n">
        <v>1705</v>
      </c>
      <c r="J241" t="n">
        <v>1320</v>
      </c>
      <c r="K241" t="n">
        <v>1000</v>
      </c>
      <c r="L241" t="n">
        <v>1090</v>
      </c>
      <c r="M241" t="n">
        <v>1740</v>
      </c>
      <c r="N241" s="6" t="n">
        <v>11445</v>
      </c>
      <c r="O241">
        <f>SUM(C241:H241)</f>
        <v/>
      </c>
      <c r="P241">
        <f>I241</f>
        <v/>
      </c>
      <c r="Q241">
        <f>J241</f>
        <v/>
      </c>
      <c r="R241">
        <f>SUM(K241:M241)</f>
        <v/>
      </c>
      <c r="S241">
        <f>SUM(O241:R241)</f>
        <v/>
      </c>
      <c r="T241" s="3">
        <f>IF(S241=0,"",O241/S241)</f>
        <v/>
      </c>
      <c r="U241" s="3">
        <f>IF(S241=0,"",P241/S241)</f>
        <v/>
      </c>
      <c r="V241" s="3">
        <f>IF(S241=0,"",Q241/S241)</f>
        <v/>
      </c>
      <c r="W241" s="3">
        <f>IF(S241=0,"",R241/S241)</f>
        <v/>
      </c>
      <c r="X241" s="4">
        <f>IF(S241=0,"",T241*Pesos!$B$2+U241*Pesos!$B$3+V241*Pesos!$B$4+W241*Pesos!$B$5)</f>
        <v/>
      </c>
    </row>
    <row r="242">
      <c r="A242" s="2" t="n">
        <v>241</v>
      </c>
      <c r="B242" t="n">
        <v>10</v>
      </c>
      <c r="C242" t="n">
        <v>805</v>
      </c>
      <c r="D242" t="n">
        <v>1050</v>
      </c>
      <c r="E242" t="n">
        <v>770</v>
      </c>
      <c r="F242" t="n">
        <v>570</v>
      </c>
      <c r="G242" t="n">
        <v>605</v>
      </c>
      <c r="H242" t="n">
        <v>500</v>
      </c>
      <c r="I242" t="n">
        <v>2145</v>
      </c>
      <c r="J242" t="n">
        <v>2010</v>
      </c>
      <c r="K242" t="n">
        <v>1160</v>
      </c>
      <c r="L242" t="n">
        <v>1155</v>
      </c>
      <c r="M242" t="n">
        <v>1380</v>
      </c>
      <c r="N242" s="6" t="n">
        <v>12160</v>
      </c>
      <c r="O242">
        <f>SUM(C242:H242)</f>
        <v/>
      </c>
      <c r="P242">
        <f>I242</f>
        <v/>
      </c>
      <c r="Q242">
        <f>J242</f>
        <v/>
      </c>
      <c r="R242">
        <f>SUM(K242:M242)</f>
        <v/>
      </c>
      <c r="S242">
        <f>SUM(O242:R242)</f>
        <v/>
      </c>
      <c r="T242" s="3">
        <f>IF(S242=0,"",O242/S242)</f>
        <v/>
      </c>
      <c r="U242" s="3">
        <f>IF(S242=0,"",P242/S242)</f>
        <v/>
      </c>
      <c r="V242" s="3">
        <f>IF(S242=0,"",Q242/S242)</f>
        <v/>
      </c>
      <c r="W242" s="3">
        <f>IF(S242=0,"",R242/S242)</f>
        <v/>
      </c>
      <c r="X242" s="4">
        <f>IF(S242=0,"",T242*Pesos!$B$2+U242*Pesos!$B$3+V242*Pesos!$B$4+W242*Pesos!$B$5)</f>
        <v/>
      </c>
    </row>
    <row r="243">
      <c r="A243" s="2" t="n">
        <v>242</v>
      </c>
      <c r="B243" t="n">
        <v>8</v>
      </c>
      <c r="C243" t="n">
        <v>395</v>
      </c>
      <c r="D243" t="n">
        <v>755</v>
      </c>
      <c r="E243" t="n">
        <v>605</v>
      </c>
      <c r="F243" t="n">
        <v>360</v>
      </c>
      <c r="G243" t="n">
        <v>645</v>
      </c>
      <c r="H243" t="n">
        <v>225</v>
      </c>
      <c r="I243" t="n">
        <v>1740</v>
      </c>
      <c r="J243" t="n">
        <v>1730</v>
      </c>
      <c r="K243" t="n">
        <v>860</v>
      </c>
      <c r="L243" t="n">
        <v>1330</v>
      </c>
      <c r="M243" t="n">
        <v>1390</v>
      </c>
      <c r="N243" s="6" t="n">
        <v>10035</v>
      </c>
      <c r="O243">
        <f>SUM(C243:H243)</f>
        <v/>
      </c>
      <c r="P243">
        <f>I243</f>
        <v/>
      </c>
      <c r="Q243">
        <f>J243</f>
        <v/>
      </c>
      <c r="R243">
        <f>SUM(K243:M243)</f>
        <v/>
      </c>
      <c r="S243">
        <f>SUM(O243:R243)</f>
        <v/>
      </c>
      <c r="T243" s="3">
        <f>IF(S243=0,"",O243/S243)</f>
        <v/>
      </c>
      <c r="U243" s="3">
        <f>IF(S243=0,"",P243/S243)</f>
        <v/>
      </c>
      <c r="V243" s="3">
        <f>IF(S243=0,"",Q243/S243)</f>
        <v/>
      </c>
      <c r="W243" s="3">
        <f>IF(S243=0,"",R243/S243)</f>
        <v/>
      </c>
      <c r="X243" s="4">
        <f>IF(S243=0,"",T243*Pesos!$B$2+U243*Pesos!$B$3+V243*Pesos!$B$4+W243*Pesos!$B$5)</f>
        <v/>
      </c>
    </row>
    <row r="244">
      <c r="A244" s="2" t="n">
        <v>243</v>
      </c>
      <c r="B244" t="n">
        <v>8</v>
      </c>
      <c r="C244" t="n">
        <v>170</v>
      </c>
      <c r="D244" t="n">
        <v>280</v>
      </c>
      <c r="E244" t="n">
        <v>420</v>
      </c>
      <c r="F244" t="n">
        <v>250</v>
      </c>
      <c r="G244" t="n">
        <v>310</v>
      </c>
      <c r="H244" t="n">
        <v>250</v>
      </c>
      <c r="I244" t="n">
        <v>1130</v>
      </c>
      <c r="J244" t="n">
        <v>2175</v>
      </c>
      <c r="K244" t="n">
        <v>1445</v>
      </c>
      <c r="L244" t="n">
        <v>1120</v>
      </c>
      <c r="M244" t="n">
        <v>915</v>
      </c>
      <c r="N244" s="6" t="n">
        <v>8465</v>
      </c>
      <c r="O244">
        <f>SUM(C244:H244)</f>
        <v/>
      </c>
      <c r="P244">
        <f>I244</f>
        <v/>
      </c>
      <c r="Q244">
        <f>J244</f>
        <v/>
      </c>
      <c r="R244">
        <f>SUM(K244:M244)</f>
        <v/>
      </c>
      <c r="S244">
        <f>SUM(O244:R244)</f>
        <v/>
      </c>
      <c r="T244" s="3">
        <f>IF(S244=0,"",O244/S244)</f>
        <v/>
      </c>
      <c r="U244" s="3">
        <f>IF(S244=0,"",P244/S244)</f>
        <v/>
      </c>
      <c r="V244" s="3">
        <f>IF(S244=0,"",Q244/S244)</f>
        <v/>
      </c>
      <c r="W244" s="3">
        <f>IF(S244=0,"",R244/S244)</f>
        <v/>
      </c>
      <c r="X244" s="4">
        <f>IF(S244=0,"",T244*Pesos!$B$2+U244*Pesos!$B$3+V244*Pesos!$B$4+W244*Pesos!$B$5)</f>
        <v/>
      </c>
    </row>
    <row r="245">
      <c r="A245" s="2" t="n">
        <v>244</v>
      </c>
      <c r="B245" t="n">
        <v>10</v>
      </c>
      <c r="C245" t="n">
        <v>335</v>
      </c>
      <c r="D245" t="n">
        <v>825</v>
      </c>
      <c r="E245" t="n">
        <v>180</v>
      </c>
      <c r="F245" t="n">
        <v>545</v>
      </c>
      <c r="G245" t="n">
        <v>285</v>
      </c>
      <c r="H245" t="n">
        <v>215</v>
      </c>
      <c r="I245" t="n">
        <v>760</v>
      </c>
      <c r="J245" t="n">
        <v>1260</v>
      </c>
      <c r="K245" t="n">
        <v>1780</v>
      </c>
      <c r="L245" t="n">
        <v>1995</v>
      </c>
      <c r="M245" t="n">
        <v>1505</v>
      </c>
      <c r="N245" s="6" t="n">
        <v>9690</v>
      </c>
      <c r="O245">
        <f>SUM(C245:H245)</f>
        <v/>
      </c>
      <c r="P245">
        <f>I245</f>
        <v/>
      </c>
      <c r="Q245">
        <f>J245</f>
        <v/>
      </c>
      <c r="R245">
        <f>SUM(K245:M245)</f>
        <v/>
      </c>
      <c r="S245">
        <f>SUM(O245:R245)</f>
        <v/>
      </c>
      <c r="T245" s="3">
        <f>IF(S245=0,"",O245/S245)</f>
        <v/>
      </c>
      <c r="U245" s="3">
        <f>IF(S245=0,"",P245/S245)</f>
        <v/>
      </c>
      <c r="V245" s="3">
        <f>IF(S245=0,"",Q245/S245)</f>
        <v/>
      </c>
      <c r="W245" s="3">
        <f>IF(S245=0,"",R245/S245)</f>
        <v/>
      </c>
      <c r="X245" s="4">
        <f>IF(S245=0,"",T245*Pesos!$B$2+U245*Pesos!$B$3+V245*Pesos!$B$4+W245*Pesos!$B$5)</f>
        <v/>
      </c>
    </row>
    <row r="246">
      <c r="A246" s="2" t="n">
        <v>245</v>
      </c>
      <c r="B246" t="n">
        <v>8</v>
      </c>
      <c r="C246" t="n">
        <v>140</v>
      </c>
      <c r="D246" t="n">
        <v>665</v>
      </c>
      <c r="E246" t="n">
        <v>275</v>
      </c>
      <c r="F246" t="n">
        <v>170</v>
      </c>
      <c r="G246" t="n">
        <v>195</v>
      </c>
      <c r="H246" t="n">
        <v>170</v>
      </c>
      <c r="I246" t="n">
        <v>765</v>
      </c>
      <c r="J246" t="n">
        <v>1315</v>
      </c>
      <c r="K246" t="n">
        <v>835</v>
      </c>
      <c r="L246" t="n">
        <v>600</v>
      </c>
      <c r="M246" t="n">
        <v>1695</v>
      </c>
      <c r="N246" s="6" t="n">
        <v>6825</v>
      </c>
      <c r="O246">
        <f>SUM(C246:H246)</f>
        <v/>
      </c>
      <c r="P246">
        <f>I246</f>
        <v/>
      </c>
      <c r="Q246">
        <f>J246</f>
        <v/>
      </c>
      <c r="R246">
        <f>SUM(K246:M246)</f>
        <v/>
      </c>
      <c r="S246">
        <f>SUM(O246:R246)</f>
        <v/>
      </c>
      <c r="T246" s="3">
        <f>IF(S246=0,"",O246/S246)</f>
        <v/>
      </c>
      <c r="U246" s="3">
        <f>IF(S246=0,"",P246/S246)</f>
        <v/>
      </c>
      <c r="V246" s="3">
        <f>IF(S246=0,"",Q246/S246)</f>
        <v/>
      </c>
      <c r="W246" s="3">
        <f>IF(S246=0,"",R246/S246)</f>
        <v/>
      </c>
      <c r="X246" s="4">
        <f>IF(S246=0,"",T246*Pesos!$B$2+U246*Pesos!$B$3+V246*Pesos!$B$4+W246*Pesos!$B$5)</f>
        <v/>
      </c>
    </row>
    <row r="247">
      <c r="A247" s="2" t="n">
        <v>246</v>
      </c>
      <c r="B247" t="n">
        <v>9</v>
      </c>
      <c r="C247" t="n">
        <v>330</v>
      </c>
      <c r="D247" t="n">
        <v>560</v>
      </c>
      <c r="E247" t="n">
        <v>470</v>
      </c>
      <c r="F247" t="n">
        <v>410</v>
      </c>
      <c r="G247" t="n">
        <v>410</v>
      </c>
      <c r="H247" t="n">
        <v>350</v>
      </c>
      <c r="I247" t="n">
        <v>1005</v>
      </c>
      <c r="J247" t="n">
        <v>1385</v>
      </c>
      <c r="K247" t="n">
        <v>1780</v>
      </c>
      <c r="L247" t="n">
        <v>1370</v>
      </c>
      <c r="M247" t="n">
        <v>1290</v>
      </c>
      <c r="N247" s="6" t="n">
        <v>9360</v>
      </c>
      <c r="O247">
        <f>SUM(C247:H247)</f>
        <v/>
      </c>
      <c r="P247">
        <f>I247</f>
        <v/>
      </c>
      <c r="Q247">
        <f>J247</f>
        <v/>
      </c>
      <c r="R247">
        <f>SUM(K247:M247)</f>
        <v/>
      </c>
      <c r="S247">
        <f>SUM(O247:R247)</f>
        <v/>
      </c>
      <c r="T247" s="3">
        <f>IF(S247=0,"",O247/S247)</f>
        <v/>
      </c>
      <c r="U247" s="3">
        <f>IF(S247=0,"",P247/S247)</f>
        <v/>
      </c>
      <c r="V247" s="3">
        <f>IF(S247=0,"",Q247/S247)</f>
        <v/>
      </c>
      <c r="W247" s="3">
        <f>IF(S247=0,"",R247/S247)</f>
        <v/>
      </c>
      <c r="X247" s="4">
        <f>IF(S247=0,"",T247*Pesos!$B$2+U247*Pesos!$B$3+V247*Pesos!$B$4+W247*Pesos!$B$5)</f>
        <v/>
      </c>
    </row>
    <row r="248">
      <c r="A248" s="2" t="n">
        <v>247</v>
      </c>
      <c r="B248" t="n">
        <v>8</v>
      </c>
      <c r="C248" t="n">
        <v>850</v>
      </c>
      <c r="D248" t="n">
        <v>235</v>
      </c>
      <c r="E248" t="n">
        <v>660</v>
      </c>
      <c r="F248" t="n">
        <v>475</v>
      </c>
      <c r="G248" t="n">
        <v>385</v>
      </c>
      <c r="H248" t="n">
        <v>580</v>
      </c>
      <c r="I248" t="n">
        <v>1025</v>
      </c>
      <c r="J248" t="n">
        <v>1110</v>
      </c>
      <c r="K248" t="n">
        <v>865</v>
      </c>
      <c r="L248" t="n">
        <v>1095</v>
      </c>
      <c r="M248" t="n">
        <v>1720</v>
      </c>
      <c r="N248" s="6" t="n">
        <v>9000</v>
      </c>
      <c r="O248">
        <f>SUM(C248:H248)</f>
        <v/>
      </c>
      <c r="P248">
        <f>I248</f>
        <v/>
      </c>
      <c r="Q248">
        <f>J248</f>
        <v/>
      </c>
      <c r="R248">
        <f>SUM(K248:M248)</f>
        <v/>
      </c>
      <c r="S248">
        <f>SUM(O248:R248)</f>
        <v/>
      </c>
      <c r="T248" s="3">
        <f>IF(S248=0,"",O248/S248)</f>
        <v/>
      </c>
      <c r="U248" s="3">
        <f>IF(S248=0,"",P248/S248)</f>
        <v/>
      </c>
      <c r="V248" s="3">
        <f>IF(S248=0,"",Q248/S248)</f>
        <v/>
      </c>
      <c r="W248" s="3">
        <f>IF(S248=0,"",R248/S248)</f>
        <v/>
      </c>
      <c r="X248" s="4">
        <f>IF(S248=0,"",T248*Pesos!$B$2+U248*Pesos!$B$3+V248*Pesos!$B$4+W248*Pesos!$B$5)</f>
        <v/>
      </c>
    </row>
    <row r="249">
      <c r="A249" s="2" t="n">
        <v>248</v>
      </c>
      <c r="B249" t="n">
        <v>9</v>
      </c>
      <c r="C249" t="n">
        <v>380</v>
      </c>
      <c r="D249" t="n">
        <v>585</v>
      </c>
      <c r="E249" t="n">
        <v>560</v>
      </c>
      <c r="F249" t="n">
        <v>225</v>
      </c>
      <c r="G249" t="n">
        <v>205</v>
      </c>
      <c r="H249" t="n">
        <v>475</v>
      </c>
      <c r="I249" t="n">
        <v>905</v>
      </c>
      <c r="J249" t="n">
        <v>1595</v>
      </c>
      <c r="K249" t="n">
        <v>2645</v>
      </c>
      <c r="L249" t="n">
        <v>3000</v>
      </c>
      <c r="M249" t="n">
        <v>395</v>
      </c>
      <c r="N249" s="6" t="n">
        <v>10960</v>
      </c>
      <c r="O249">
        <f>SUM(C249:H249)</f>
        <v/>
      </c>
      <c r="P249">
        <f>I249</f>
        <v/>
      </c>
      <c r="Q249">
        <f>J249</f>
        <v/>
      </c>
      <c r="R249">
        <f>SUM(K249:M249)</f>
        <v/>
      </c>
      <c r="S249">
        <f>SUM(O249:R249)</f>
        <v/>
      </c>
      <c r="T249" s="3">
        <f>IF(S249=0,"",O249/S249)</f>
        <v/>
      </c>
      <c r="U249" s="3">
        <f>IF(S249=0,"",P249/S249)</f>
        <v/>
      </c>
      <c r="V249" s="3">
        <f>IF(S249=0,"",Q249/S249)</f>
        <v/>
      </c>
      <c r="W249" s="3">
        <f>IF(S249=0,"",R249/S249)</f>
        <v/>
      </c>
      <c r="X249" s="4">
        <f>IF(S249=0,"",T249*Pesos!$B$2+U249*Pesos!$B$3+V249*Pesos!$B$4+W249*Pesos!$B$5)</f>
        <v/>
      </c>
    </row>
    <row r="250">
      <c r="A250" s="2" t="n">
        <v>249</v>
      </c>
      <c r="B250" t="n">
        <v>9</v>
      </c>
      <c r="C250" t="n">
        <v>670</v>
      </c>
      <c r="D250" t="n">
        <v>945</v>
      </c>
      <c r="E250" t="n">
        <v>685</v>
      </c>
      <c r="F250" t="n">
        <v>370</v>
      </c>
      <c r="G250" t="n">
        <v>125</v>
      </c>
      <c r="H250" t="n">
        <v>290</v>
      </c>
      <c r="I250" t="n">
        <v>1035</v>
      </c>
      <c r="J250" t="n">
        <v>1395</v>
      </c>
      <c r="K250" t="n">
        <v>1510</v>
      </c>
      <c r="L250" t="n">
        <v>1880</v>
      </c>
      <c r="M250" t="n">
        <v>1350</v>
      </c>
      <c r="N250" s="6" t="n">
        <v>10255</v>
      </c>
      <c r="O250">
        <f>SUM(C250:H250)</f>
        <v/>
      </c>
      <c r="P250">
        <f>I250</f>
        <v/>
      </c>
      <c r="Q250">
        <f>J250</f>
        <v/>
      </c>
      <c r="R250">
        <f>SUM(K250:M250)</f>
        <v/>
      </c>
      <c r="S250">
        <f>SUM(O250:R250)</f>
        <v/>
      </c>
      <c r="T250" s="3">
        <f>IF(S250=0,"",O250/S250)</f>
        <v/>
      </c>
      <c r="U250" s="3">
        <f>IF(S250=0,"",P250/S250)</f>
        <v/>
      </c>
      <c r="V250" s="3">
        <f>IF(S250=0,"",Q250/S250)</f>
        <v/>
      </c>
      <c r="W250" s="3">
        <f>IF(S250=0,"",R250/S250)</f>
        <v/>
      </c>
      <c r="X250" s="4">
        <f>IF(S250=0,"",T250*Pesos!$B$2+U250*Pesos!$B$3+V250*Pesos!$B$4+W250*Pesos!$B$5)</f>
        <v/>
      </c>
    </row>
    <row r="251">
      <c r="A251" s="2" t="n">
        <v>250</v>
      </c>
      <c r="B251" t="n">
        <v>7</v>
      </c>
      <c r="C251" t="n">
        <v>1320</v>
      </c>
      <c r="D251" t="n">
        <v>815</v>
      </c>
      <c r="E251" t="n">
        <v>320</v>
      </c>
      <c r="F251" t="n">
        <v>355</v>
      </c>
      <c r="G251" t="n">
        <v>415</v>
      </c>
      <c r="H251" t="n">
        <v>265</v>
      </c>
      <c r="I251" t="n">
        <v>1130</v>
      </c>
      <c r="J251" t="n">
        <v>1020</v>
      </c>
      <c r="K251" t="n">
        <v>1105</v>
      </c>
      <c r="L251" t="n">
        <v>1790</v>
      </c>
      <c r="M251" t="n">
        <v>1055</v>
      </c>
      <c r="N251" s="6" t="n">
        <v>9595</v>
      </c>
      <c r="O251">
        <f>SUM(C251:H251)</f>
        <v/>
      </c>
      <c r="P251">
        <f>I251</f>
        <v/>
      </c>
      <c r="Q251">
        <f>J251</f>
        <v/>
      </c>
      <c r="R251">
        <f>SUM(K251:M251)</f>
        <v/>
      </c>
      <c r="S251">
        <f>SUM(O251:R251)</f>
        <v/>
      </c>
      <c r="T251" s="3">
        <f>IF(S251=0,"",O251/S251)</f>
        <v/>
      </c>
      <c r="U251" s="3">
        <f>IF(S251=0,"",P251/S251)</f>
        <v/>
      </c>
      <c r="V251" s="3">
        <f>IF(S251=0,"",Q251/S251)</f>
        <v/>
      </c>
      <c r="W251" s="3">
        <f>IF(S251=0,"",R251/S251)</f>
        <v/>
      </c>
      <c r="X251" s="4">
        <f>IF(S251=0,"",T251*Pesos!$B$2+U251*Pesos!$B$3+V251*Pesos!$B$4+W251*Pesos!$B$5)</f>
        <v/>
      </c>
    </row>
    <row r="252">
      <c r="A252" s="2" t="n">
        <v>251</v>
      </c>
      <c r="B252" t="n">
        <v>8</v>
      </c>
      <c r="C252" t="n">
        <v>825</v>
      </c>
      <c r="D252" t="n">
        <v>355</v>
      </c>
      <c r="E252" t="n">
        <v>615</v>
      </c>
      <c r="F252" t="n">
        <v>380</v>
      </c>
      <c r="G252" t="n">
        <v>260</v>
      </c>
      <c r="H252" t="n">
        <v>260</v>
      </c>
      <c r="I252" t="n">
        <v>930</v>
      </c>
      <c r="J252" t="n">
        <v>1755</v>
      </c>
      <c r="K252" t="n">
        <v>1340</v>
      </c>
      <c r="L252" t="n">
        <v>1935</v>
      </c>
      <c r="M252" t="n">
        <v>1075</v>
      </c>
      <c r="N252" s="6" t="n">
        <v>9730</v>
      </c>
      <c r="O252">
        <f>SUM(C252:H252)</f>
        <v/>
      </c>
      <c r="P252">
        <f>I252</f>
        <v/>
      </c>
      <c r="Q252">
        <f>J252</f>
        <v/>
      </c>
      <c r="R252">
        <f>SUM(K252:M252)</f>
        <v/>
      </c>
      <c r="S252">
        <f>SUM(O252:R252)</f>
        <v/>
      </c>
      <c r="T252" s="3">
        <f>IF(S252=0,"",O252/S252)</f>
        <v/>
      </c>
      <c r="U252" s="3">
        <f>IF(S252=0,"",P252/S252)</f>
        <v/>
      </c>
      <c r="V252" s="3">
        <f>IF(S252=0,"",Q252/S252)</f>
        <v/>
      </c>
      <c r="W252" s="3">
        <f>IF(S252=0,"",R252/S252)</f>
        <v/>
      </c>
      <c r="X252" s="4">
        <f>IF(S252=0,"",T252*Pesos!$B$2+U252*Pesos!$B$3+V252*Pesos!$B$4+W252*Pesos!$B$5)</f>
        <v/>
      </c>
    </row>
    <row r="253">
      <c r="A253" s="2" t="n">
        <v>252</v>
      </c>
      <c r="B253" t="n">
        <v>8</v>
      </c>
      <c r="C253" t="n">
        <v>460</v>
      </c>
      <c r="D253" t="n">
        <v>715</v>
      </c>
      <c r="E253" t="n">
        <v>380</v>
      </c>
      <c r="F253" t="n">
        <v>335</v>
      </c>
      <c r="G253" t="n">
        <v>285</v>
      </c>
      <c r="H253" t="n">
        <v>285</v>
      </c>
      <c r="I253" t="n">
        <v>1330</v>
      </c>
      <c r="J253" t="n">
        <v>1415</v>
      </c>
      <c r="K253" t="n">
        <v>1200</v>
      </c>
      <c r="L253" t="n">
        <v>935</v>
      </c>
      <c r="M253" t="n">
        <v>1340</v>
      </c>
      <c r="N253" s="6" t="n">
        <v>8675</v>
      </c>
      <c r="O253">
        <f>SUM(C253:H253)</f>
        <v/>
      </c>
      <c r="P253">
        <f>I253</f>
        <v/>
      </c>
      <c r="Q253">
        <f>J253</f>
        <v/>
      </c>
      <c r="R253">
        <f>SUM(K253:M253)</f>
        <v/>
      </c>
      <c r="S253">
        <f>SUM(O253:R253)</f>
        <v/>
      </c>
      <c r="T253" s="3">
        <f>IF(S253=0,"",O253/S253)</f>
        <v/>
      </c>
      <c r="U253" s="3">
        <f>IF(S253=0,"",P253/S253)</f>
        <v/>
      </c>
      <c r="V253" s="3">
        <f>IF(S253=0,"",Q253/S253)</f>
        <v/>
      </c>
      <c r="W253" s="3">
        <f>IF(S253=0,"",R253/S253)</f>
        <v/>
      </c>
      <c r="X253" s="4">
        <f>IF(S253=0,"",T253*Pesos!$B$2+U253*Pesos!$B$3+V253*Pesos!$B$4+W253*Pesos!$B$5)</f>
        <v/>
      </c>
    </row>
    <row r="254">
      <c r="A254" s="2" t="n">
        <v>253</v>
      </c>
      <c r="B254" t="n">
        <v>7</v>
      </c>
      <c r="C254" t="n">
        <v>220</v>
      </c>
      <c r="D254" t="n">
        <v>490</v>
      </c>
      <c r="E254" t="n">
        <v>190</v>
      </c>
      <c r="F254" t="n">
        <v>355</v>
      </c>
      <c r="G254" t="n">
        <v>290</v>
      </c>
      <c r="H254" t="n">
        <v>420</v>
      </c>
      <c r="I254" t="n">
        <v>1340</v>
      </c>
      <c r="J254" t="n">
        <v>1505</v>
      </c>
      <c r="K254" t="n">
        <v>2880</v>
      </c>
      <c r="L254" t="n">
        <v>725</v>
      </c>
      <c r="M254" t="n">
        <v>295</v>
      </c>
      <c r="N254" s="6" t="n">
        <v>8710</v>
      </c>
      <c r="O254">
        <f>SUM(C254:H254)</f>
        <v/>
      </c>
      <c r="P254">
        <f>I254</f>
        <v/>
      </c>
      <c r="Q254">
        <f>J254</f>
        <v/>
      </c>
      <c r="R254">
        <f>SUM(K254:M254)</f>
        <v/>
      </c>
      <c r="S254">
        <f>SUM(O254:R254)</f>
        <v/>
      </c>
      <c r="T254" s="3">
        <f>IF(S254=0,"",O254/S254)</f>
        <v/>
      </c>
      <c r="U254" s="3">
        <f>IF(S254=0,"",P254/S254)</f>
        <v/>
      </c>
      <c r="V254" s="3">
        <f>IF(S254=0,"",Q254/S254)</f>
        <v/>
      </c>
      <c r="W254" s="3">
        <f>IF(S254=0,"",R254/S254)</f>
        <v/>
      </c>
      <c r="X254" s="4">
        <f>IF(S254=0,"",T254*Pesos!$B$2+U254*Pesos!$B$3+V254*Pesos!$B$4+W254*Pesos!$B$5)</f>
        <v/>
      </c>
    </row>
    <row r="255">
      <c r="A255" s="2" t="n">
        <v>254</v>
      </c>
      <c r="B255" t="n">
        <v>9</v>
      </c>
      <c r="C255" t="n">
        <v>705</v>
      </c>
      <c r="D255" t="n">
        <v>450</v>
      </c>
      <c r="E255" t="n">
        <v>785</v>
      </c>
      <c r="F255" t="n">
        <v>520</v>
      </c>
      <c r="G255" t="n">
        <v>400</v>
      </c>
      <c r="H255" t="n">
        <v>505</v>
      </c>
      <c r="I255" t="n">
        <v>2370</v>
      </c>
      <c r="J255" t="n">
        <v>3800</v>
      </c>
      <c r="K255" t="n">
        <v>925</v>
      </c>
      <c r="L255" t="n">
        <v>1160</v>
      </c>
      <c r="M255" t="n">
        <v>1595</v>
      </c>
      <c r="N255" s="6" t="n">
        <v>13215</v>
      </c>
      <c r="O255">
        <f>SUM(C255:H255)</f>
        <v/>
      </c>
      <c r="P255">
        <f>I255</f>
        <v/>
      </c>
      <c r="Q255">
        <f>J255</f>
        <v/>
      </c>
      <c r="R255">
        <f>SUM(K255:M255)</f>
        <v/>
      </c>
      <c r="S255">
        <f>SUM(O255:R255)</f>
        <v/>
      </c>
      <c r="T255" s="3">
        <f>IF(S255=0,"",O255/S255)</f>
        <v/>
      </c>
      <c r="U255" s="3">
        <f>IF(S255=0,"",P255/S255)</f>
        <v/>
      </c>
      <c r="V255" s="3">
        <f>IF(S255=0,"",Q255/S255)</f>
        <v/>
      </c>
      <c r="W255" s="3">
        <f>IF(S255=0,"",R255/S255)</f>
        <v/>
      </c>
      <c r="X255" s="4">
        <f>IF(S255=0,"",T255*Pesos!$B$2+U255*Pesos!$B$3+V255*Pesos!$B$4+W255*Pesos!$B$5)</f>
        <v/>
      </c>
    </row>
    <row r="256">
      <c r="A256" s="2" t="n">
        <v>255</v>
      </c>
      <c r="B256" t="n">
        <v>8</v>
      </c>
      <c r="C256" t="n">
        <v>700</v>
      </c>
      <c r="D256" t="n">
        <v>470</v>
      </c>
      <c r="E256" t="n">
        <v>385</v>
      </c>
      <c r="F256" t="n">
        <v>280</v>
      </c>
      <c r="G256" t="n">
        <v>490</v>
      </c>
      <c r="H256" t="n">
        <v>420</v>
      </c>
      <c r="I256" t="n">
        <v>1535</v>
      </c>
      <c r="J256" t="n">
        <v>1210</v>
      </c>
      <c r="K256" t="n">
        <v>1155</v>
      </c>
      <c r="L256" t="n">
        <v>1835</v>
      </c>
      <c r="M256" t="n">
        <v>1650</v>
      </c>
      <c r="N256" s="6" t="n">
        <v>10125</v>
      </c>
      <c r="O256">
        <f>SUM(C256:H256)</f>
        <v/>
      </c>
      <c r="P256">
        <f>I256</f>
        <v/>
      </c>
      <c r="Q256">
        <f>J256</f>
        <v/>
      </c>
      <c r="R256">
        <f>SUM(K256:M256)</f>
        <v/>
      </c>
      <c r="S256">
        <f>SUM(O256:R256)</f>
        <v/>
      </c>
      <c r="T256" s="3">
        <f>IF(S256=0,"",O256/S256)</f>
        <v/>
      </c>
      <c r="U256" s="3">
        <f>IF(S256=0,"",P256/S256)</f>
        <v/>
      </c>
      <c r="V256" s="3">
        <f>IF(S256=0,"",Q256/S256)</f>
        <v/>
      </c>
      <c r="W256" s="3">
        <f>IF(S256=0,"",R256/S256)</f>
        <v/>
      </c>
      <c r="X256" s="4">
        <f>IF(S256=0,"",T256*Pesos!$B$2+U256*Pesos!$B$3+V256*Pesos!$B$4+W256*Pesos!$B$5)</f>
        <v/>
      </c>
    </row>
    <row r="257">
      <c r="A257" s="2" t="n">
        <v>256</v>
      </c>
      <c r="B257" t="n">
        <v>8</v>
      </c>
      <c r="C257" t="n">
        <v>585</v>
      </c>
      <c r="D257" t="n">
        <v>590</v>
      </c>
      <c r="E257" t="n">
        <v>315</v>
      </c>
      <c r="F257" t="n">
        <v>225</v>
      </c>
      <c r="G257" t="n">
        <v>365</v>
      </c>
      <c r="H257" t="n">
        <v>515</v>
      </c>
      <c r="I257" t="n">
        <v>1395</v>
      </c>
      <c r="J257" t="n">
        <v>1365</v>
      </c>
      <c r="K257" t="n">
        <v>1095</v>
      </c>
      <c r="L257" t="n">
        <v>2315</v>
      </c>
      <c r="M257" t="n">
        <v>1300</v>
      </c>
      <c r="N257" s="6" t="n">
        <v>10070</v>
      </c>
      <c r="O257">
        <f>SUM(C257:H257)</f>
        <v/>
      </c>
      <c r="P257">
        <f>I257</f>
        <v/>
      </c>
      <c r="Q257">
        <f>J257</f>
        <v/>
      </c>
      <c r="R257">
        <f>SUM(K257:M257)</f>
        <v/>
      </c>
      <c r="S257">
        <f>SUM(O257:R257)</f>
        <v/>
      </c>
      <c r="T257" s="3">
        <f>IF(S257=0,"",O257/S257)</f>
        <v/>
      </c>
      <c r="U257" s="3">
        <f>IF(S257=0,"",P257/S257)</f>
        <v/>
      </c>
      <c r="V257" s="3">
        <f>IF(S257=0,"",Q257/S257)</f>
        <v/>
      </c>
      <c r="W257" s="3">
        <f>IF(S257=0,"",R257/S257)</f>
        <v/>
      </c>
      <c r="X257" s="4">
        <f>IF(S257=0,"",T257*Pesos!$B$2+U257*Pesos!$B$3+V257*Pesos!$B$4+W257*Pesos!$B$5)</f>
        <v/>
      </c>
    </row>
    <row r="258">
      <c r="A258" s="2" t="n">
        <v>257</v>
      </c>
      <c r="B258" t="n">
        <v>10</v>
      </c>
      <c r="C258" t="n">
        <v>845</v>
      </c>
      <c r="D258" t="n">
        <v>350</v>
      </c>
      <c r="E258" t="n">
        <v>605</v>
      </c>
      <c r="F258" t="n">
        <v>320</v>
      </c>
      <c r="G258" t="n">
        <v>445</v>
      </c>
      <c r="H258" t="n">
        <v>440</v>
      </c>
      <c r="I258" t="n">
        <v>1395</v>
      </c>
      <c r="J258" t="n">
        <v>1340</v>
      </c>
      <c r="K258" t="n">
        <v>1410</v>
      </c>
      <c r="L258" t="n">
        <v>1900</v>
      </c>
      <c r="M258" t="n">
        <v>1650</v>
      </c>
      <c r="N258" s="6" t="n">
        <v>10700</v>
      </c>
      <c r="O258">
        <f>SUM(C258:H258)</f>
        <v/>
      </c>
      <c r="P258">
        <f>I258</f>
        <v/>
      </c>
      <c r="Q258">
        <f>J258</f>
        <v/>
      </c>
      <c r="R258">
        <f>SUM(K258:M258)</f>
        <v/>
      </c>
      <c r="S258">
        <f>SUM(O258:R258)</f>
        <v/>
      </c>
      <c r="T258" s="3">
        <f>IF(S258=0,"",O258/S258)</f>
        <v/>
      </c>
      <c r="U258" s="3">
        <f>IF(S258=0,"",P258/S258)</f>
        <v/>
      </c>
      <c r="V258" s="3">
        <f>IF(S258=0,"",Q258/S258)</f>
        <v/>
      </c>
      <c r="W258" s="3">
        <f>IF(S258=0,"",R258/S258)</f>
        <v/>
      </c>
      <c r="X258" s="4">
        <f>IF(S258=0,"",T258*Pesos!$B$2+U258*Pesos!$B$3+V258*Pesos!$B$4+W258*Pesos!$B$5)</f>
        <v/>
      </c>
    </row>
    <row r="259">
      <c r="A259" s="2" t="n">
        <v>258</v>
      </c>
      <c r="B259" t="n">
        <v>9</v>
      </c>
      <c r="C259" t="n">
        <v>470</v>
      </c>
      <c r="D259" t="n">
        <v>725</v>
      </c>
      <c r="E259" t="n">
        <v>610</v>
      </c>
      <c r="F259" t="n">
        <v>450</v>
      </c>
      <c r="G259" t="n">
        <v>465</v>
      </c>
      <c r="H259" t="n">
        <v>545</v>
      </c>
      <c r="I259" t="n">
        <v>1210</v>
      </c>
      <c r="J259" t="n">
        <v>2805</v>
      </c>
      <c r="K259" t="n">
        <v>2195</v>
      </c>
      <c r="L259" t="n">
        <v>2875</v>
      </c>
      <c r="M259" t="n">
        <v>850</v>
      </c>
      <c r="N259" s="6" t="n">
        <v>13195</v>
      </c>
      <c r="O259">
        <f>SUM(C259:H259)</f>
        <v/>
      </c>
      <c r="P259">
        <f>I259</f>
        <v/>
      </c>
      <c r="Q259">
        <f>J259</f>
        <v/>
      </c>
      <c r="R259">
        <f>SUM(K259:M259)</f>
        <v/>
      </c>
      <c r="S259">
        <f>SUM(O259:R259)</f>
        <v/>
      </c>
      <c r="T259" s="3">
        <f>IF(S259=0,"",O259/S259)</f>
        <v/>
      </c>
      <c r="U259" s="3">
        <f>IF(S259=0,"",P259/S259)</f>
        <v/>
      </c>
      <c r="V259" s="3">
        <f>IF(S259=0,"",Q259/S259)</f>
        <v/>
      </c>
      <c r="W259" s="3">
        <f>IF(S259=0,"",R259/S259)</f>
        <v/>
      </c>
      <c r="X259" s="4">
        <f>IF(S259=0,"",T259*Pesos!$B$2+U259*Pesos!$B$3+V259*Pesos!$B$4+W259*Pesos!$B$5)</f>
        <v/>
      </c>
    </row>
    <row r="260">
      <c r="A260" s="2" t="n">
        <v>259</v>
      </c>
      <c r="B260" t="n">
        <v>2</v>
      </c>
      <c r="C260" t="n">
        <v>390</v>
      </c>
      <c r="D260" t="n">
        <v>935</v>
      </c>
      <c r="E260" t="n">
        <v>570</v>
      </c>
      <c r="F260" t="n">
        <v>450</v>
      </c>
      <c r="G260" t="n">
        <v>640</v>
      </c>
      <c r="H260" t="n">
        <v>740</v>
      </c>
      <c r="I260" t="n">
        <v>960</v>
      </c>
      <c r="J260" s="7" t="n">
        <v>35</v>
      </c>
      <c r="K260" t="n">
        <v>0</v>
      </c>
      <c r="L260" s="7" t="n">
        <v>35</v>
      </c>
      <c r="M260" s="7" t="n">
        <v>20</v>
      </c>
      <c r="N260" s="6" t="n">
        <v>4775</v>
      </c>
      <c r="O260">
        <f>SUM(C260:H260)</f>
        <v/>
      </c>
      <c r="P260">
        <f>I260</f>
        <v/>
      </c>
      <c r="Q260">
        <f>J260</f>
        <v/>
      </c>
      <c r="R260">
        <f>SUM(K260:M260)</f>
        <v/>
      </c>
      <c r="S260">
        <f>SUM(O260:R260)</f>
        <v/>
      </c>
      <c r="T260" s="3">
        <f>IF(S260=0,"",O260/S260)</f>
        <v/>
      </c>
      <c r="U260" s="3">
        <f>IF(S260=0,"",P260/S260)</f>
        <v/>
      </c>
      <c r="V260" s="3">
        <f>IF(S260=0,"",Q260/S260)</f>
        <v/>
      </c>
      <c r="W260" s="3">
        <f>IF(S260=0,"",R260/S260)</f>
        <v/>
      </c>
      <c r="X260" s="4">
        <f>IF(S260=0,"",T260*Pesos!$B$2+U260*Pesos!$B$3+V260*Pesos!$B$4+W260*Pesos!$B$5)</f>
        <v/>
      </c>
    </row>
    <row r="261">
      <c r="A261" s="2" t="n">
        <v>260</v>
      </c>
      <c r="B261" t="n">
        <v>8</v>
      </c>
      <c r="C261" t="n">
        <v>640</v>
      </c>
      <c r="D261" t="n">
        <v>505</v>
      </c>
      <c r="E261" t="n">
        <v>305</v>
      </c>
      <c r="F261" t="n">
        <v>125</v>
      </c>
      <c r="G261" t="n">
        <v>280</v>
      </c>
      <c r="H261" t="n">
        <v>370</v>
      </c>
      <c r="I261" t="n">
        <v>1635</v>
      </c>
      <c r="J261" t="n">
        <v>1390</v>
      </c>
      <c r="K261" t="n">
        <v>1670</v>
      </c>
      <c r="L261" t="n">
        <v>1040</v>
      </c>
      <c r="M261" t="n">
        <v>970</v>
      </c>
      <c r="N261" s="6" t="n">
        <v>8930</v>
      </c>
      <c r="O261">
        <f>SUM(C261:H261)</f>
        <v/>
      </c>
      <c r="P261">
        <f>I261</f>
        <v/>
      </c>
      <c r="Q261">
        <f>J261</f>
        <v/>
      </c>
      <c r="R261">
        <f>SUM(K261:M261)</f>
        <v/>
      </c>
      <c r="S261">
        <f>SUM(O261:R261)</f>
        <v/>
      </c>
      <c r="T261" s="3">
        <f>IF(S261=0,"",O261/S261)</f>
        <v/>
      </c>
      <c r="U261" s="3">
        <f>IF(S261=0,"",P261/S261)</f>
        <v/>
      </c>
      <c r="V261" s="3">
        <f>IF(S261=0,"",Q261/S261)</f>
        <v/>
      </c>
      <c r="W261" s="3">
        <f>IF(S261=0,"",R261/S261)</f>
        <v/>
      </c>
      <c r="X261" s="4">
        <f>IF(S261=0,"",T261*Pesos!$B$2+U261*Pesos!$B$3+V261*Pesos!$B$4+W261*Pesos!$B$5)</f>
        <v/>
      </c>
    </row>
    <row r="262">
      <c r="A262" s="2" t="n">
        <v>261</v>
      </c>
      <c r="B262" t="n">
        <v>9</v>
      </c>
      <c r="C262" t="n">
        <v>1335</v>
      </c>
      <c r="D262" t="n">
        <v>1125</v>
      </c>
      <c r="E262" t="n">
        <v>820</v>
      </c>
      <c r="F262" t="n">
        <v>440</v>
      </c>
      <c r="G262" t="n">
        <v>590</v>
      </c>
      <c r="H262" t="n">
        <v>585</v>
      </c>
      <c r="I262" t="n">
        <v>2115</v>
      </c>
      <c r="J262" t="n">
        <v>1925</v>
      </c>
      <c r="K262" t="n">
        <v>1915</v>
      </c>
      <c r="L262" t="n">
        <v>2250</v>
      </c>
      <c r="M262" t="n">
        <v>2115</v>
      </c>
      <c r="N262" s="6" t="n">
        <v>15210</v>
      </c>
      <c r="O262">
        <f>SUM(C262:H262)</f>
        <v/>
      </c>
      <c r="P262">
        <f>I262</f>
        <v/>
      </c>
      <c r="Q262">
        <f>J262</f>
        <v/>
      </c>
      <c r="R262">
        <f>SUM(K262:M262)</f>
        <v/>
      </c>
      <c r="S262">
        <f>SUM(O262:R262)</f>
        <v/>
      </c>
      <c r="T262" s="3">
        <f>IF(S262=0,"",O262/S262)</f>
        <v/>
      </c>
      <c r="U262" s="3">
        <f>IF(S262=0,"",P262/S262)</f>
        <v/>
      </c>
      <c r="V262" s="3">
        <f>IF(S262=0,"",Q262/S262)</f>
        <v/>
      </c>
      <c r="W262" s="3">
        <f>IF(S262=0,"",R262/S262)</f>
        <v/>
      </c>
      <c r="X262" s="4">
        <f>IF(S262=0,"",T262*Pesos!$B$2+U262*Pesos!$B$3+V262*Pesos!$B$4+W262*Pesos!$B$5)</f>
        <v/>
      </c>
    </row>
    <row r="263">
      <c r="A263" s="2" t="n">
        <v>262</v>
      </c>
      <c r="B263" t="n">
        <v>8</v>
      </c>
      <c r="C263" t="n">
        <v>515</v>
      </c>
      <c r="D263" t="n">
        <v>425</v>
      </c>
      <c r="E263" t="n">
        <v>565</v>
      </c>
      <c r="F263" t="n">
        <v>375</v>
      </c>
      <c r="G263" t="n">
        <v>255</v>
      </c>
      <c r="H263" t="n">
        <v>575</v>
      </c>
      <c r="I263" t="n">
        <v>1575</v>
      </c>
      <c r="J263" t="n">
        <v>2600</v>
      </c>
      <c r="K263" t="n">
        <v>990</v>
      </c>
      <c r="L263" t="n">
        <v>515</v>
      </c>
      <c r="M263" t="n">
        <v>1700</v>
      </c>
      <c r="N263" s="6" t="n">
        <v>10095</v>
      </c>
      <c r="O263">
        <f>SUM(C263:H263)</f>
        <v/>
      </c>
      <c r="P263">
        <f>I263</f>
        <v/>
      </c>
      <c r="Q263">
        <f>J263</f>
        <v/>
      </c>
      <c r="R263">
        <f>SUM(K263:M263)</f>
        <v/>
      </c>
      <c r="S263">
        <f>SUM(O263:R263)</f>
        <v/>
      </c>
      <c r="T263" s="3">
        <f>IF(S263=0,"",O263/S263)</f>
        <v/>
      </c>
      <c r="U263" s="3">
        <f>IF(S263=0,"",P263/S263)</f>
        <v/>
      </c>
      <c r="V263" s="3">
        <f>IF(S263=0,"",Q263/S263)</f>
        <v/>
      </c>
      <c r="W263" s="3">
        <f>IF(S263=0,"",R263/S263)</f>
        <v/>
      </c>
      <c r="X263" s="4">
        <f>IF(S263=0,"",T263*Pesos!$B$2+U263*Pesos!$B$3+V263*Pesos!$B$4+W263*Pesos!$B$5)</f>
        <v/>
      </c>
    </row>
    <row r="264">
      <c r="A264" s="2" t="n">
        <v>263</v>
      </c>
      <c r="B264" t="n">
        <v>7</v>
      </c>
      <c r="C264" t="n">
        <v>980</v>
      </c>
      <c r="D264" t="n">
        <v>195</v>
      </c>
      <c r="E264" t="n">
        <v>155</v>
      </c>
      <c r="F264" t="n">
        <v>350</v>
      </c>
      <c r="G264" t="n">
        <v>85</v>
      </c>
      <c r="H264" t="n">
        <v>275</v>
      </c>
      <c r="I264" t="n">
        <v>695</v>
      </c>
      <c r="J264" t="n">
        <v>915</v>
      </c>
      <c r="K264" t="n">
        <v>1115</v>
      </c>
      <c r="L264" t="n">
        <v>1670</v>
      </c>
      <c r="M264" t="n">
        <v>915</v>
      </c>
      <c r="N264" s="6" t="n">
        <v>7345</v>
      </c>
      <c r="O264">
        <f>SUM(C264:H264)</f>
        <v/>
      </c>
      <c r="P264">
        <f>I264</f>
        <v/>
      </c>
      <c r="Q264">
        <f>J264</f>
        <v/>
      </c>
      <c r="R264">
        <f>SUM(K264:M264)</f>
        <v/>
      </c>
      <c r="S264">
        <f>SUM(O264:R264)</f>
        <v/>
      </c>
      <c r="T264" s="3">
        <f>IF(S264=0,"",O264/S264)</f>
        <v/>
      </c>
      <c r="U264" s="3">
        <f>IF(S264=0,"",P264/S264)</f>
        <v/>
      </c>
      <c r="V264" s="3">
        <f>IF(S264=0,"",Q264/S264)</f>
        <v/>
      </c>
      <c r="W264" s="3">
        <f>IF(S264=0,"",R264/S264)</f>
        <v/>
      </c>
      <c r="X264" s="4">
        <f>IF(S264=0,"",T264*Pesos!$B$2+U264*Pesos!$B$3+V264*Pesos!$B$4+W264*Pesos!$B$5)</f>
        <v/>
      </c>
    </row>
    <row r="265">
      <c r="A265" s="2" t="n">
        <v>264</v>
      </c>
      <c r="B265" t="n">
        <v>8</v>
      </c>
      <c r="C265" t="n">
        <v>680</v>
      </c>
      <c r="D265" t="n">
        <v>840</v>
      </c>
      <c r="E265" t="n">
        <v>1295</v>
      </c>
      <c r="F265" t="n">
        <v>635</v>
      </c>
      <c r="G265" t="n">
        <v>660</v>
      </c>
      <c r="H265" t="n">
        <v>630</v>
      </c>
      <c r="I265" t="n">
        <v>2715</v>
      </c>
      <c r="J265" t="n">
        <v>1770</v>
      </c>
      <c r="K265" t="n">
        <v>945</v>
      </c>
      <c r="L265" t="n">
        <v>705</v>
      </c>
      <c r="M265" t="n">
        <v>880</v>
      </c>
      <c r="N265" s="6" t="n">
        <v>11760</v>
      </c>
      <c r="O265">
        <f>SUM(C265:H265)</f>
        <v/>
      </c>
      <c r="P265">
        <f>I265</f>
        <v/>
      </c>
      <c r="Q265">
        <f>J265</f>
        <v/>
      </c>
      <c r="R265">
        <f>SUM(K265:M265)</f>
        <v/>
      </c>
      <c r="S265">
        <f>SUM(O265:R265)</f>
        <v/>
      </c>
      <c r="T265" s="3">
        <f>IF(S265=0,"",O265/S265)</f>
        <v/>
      </c>
      <c r="U265" s="3">
        <f>IF(S265=0,"",P265/S265)</f>
        <v/>
      </c>
      <c r="V265" s="3">
        <f>IF(S265=0,"",Q265/S265)</f>
        <v/>
      </c>
      <c r="W265" s="3">
        <f>IF(S265=0,"",R265/S265)</f>
        <v/>
      </c>
      <c r="X265" s="4">
        <f>IF(S265=0,"",T265*Pesos!$B$2+U265*Pesos!$B$3+V265*Pesos!$B$4+W265*Pesos!$B$5)</f>
        <v/>
      </c>
    </row>
    <row r="266">
      <c r="A266" s="2" t="n">
        <v>265</v>
      </c>
      <c r="B266" t="n">
        <v>7</v>
      </c>
      <c r="C266" t="n">
        <v>220</v>
      </c>
      <c r="D266" t="n">
        <v>1100</v>
      </c>
      <c r="E266" t="n">
        <v>205</v>
      </c>
      <c r="F266" t="n">
        <v>345</v>
      </c>
      <c r="G266" t="n">
        <v>690</v>
      </c>
      <c r="H266" t="n">
        <v>305</v>
      </c>
      <c r="I266" t="n">
        <v>1245</v>
      </c>
      <c r="J266" t="n">
        <v>965</v>
      </c>
      <c r="K266" t="n">
        <v>545</v>
      </c>
      <c r="L266" t="n">
        <v>555</v>
      </c>
      <c r="M266" t="n">
        <v>1240</v>
      </c>
      <c r="N266" s="6" t="n">
        <v>7415</v>
      </c>
      <c r="O266">
        <f>SUM(C266:H266)</f>
        <v/>
      </c>
      <c r="P266">
        <f>I266</f>
        <v/>
      </c>
      <c r="Q266">
        <f>J266</f>
        <v/>
      </c>
      <c r="R266">
        <f>SUM(K266:M266)</f>
        <v/>
      </c>
      <c r="S266">
        <f>SUM(O266:R266)</f>
        <v/>
      </c>
      <c r="T266" s="3">
        <f>IF(S266=0,"",O266/S266)</f>
        <v/>
      </c>
      <c r="U266" s="3">
        <f>IF(S266=0,"",P266/S266)</f>
        <v/>
      </c>
      <c r="V266" s="3">
        <f>IF(S266=0,"",Q266/S266)</f>
        <v/>
      </c>
      <c r="W266" s="3">
        <f>IF(S266=0,"",R266/S266)</f>
        <v/>
      </c>
      <c r="X266" s="4">
        <f>IF(S266=0,"",T266*Pesos!$B$2+U266*Pesos!$B$3+V266*Pesos!$B$4+W266*Pesos!$B$5)</f>
        <v/>
      </c>
    </row>
    <row r="267">
      <c r="A267" s="2" t="n">
        <v>266</v>
      </c>
      <c r="B267" t="n">
        <v>10</v>
      </c>
      <c r="C267" t="n">
        <v>1305</v>
      </c>
      <c r="D267" t="n">
        <v>810</v>
      </c>
      <c r="E267" t="n">
        <v>435</v>
      </c>
      <c r="F267" t="n">
        <v>610</v>
      </c>
      <c r="G267" t="n">
        <v>545</v>
      </c>
      <c r="H267" t="n">
        <v>760</v>
      </c>
      <c r="I267" t="n">
        <v>2165</v>
      </c>
      <c r="J267" t="n">
        <v>2695</v>
      </c>
      <c r="K267" t="n">
        <v>1415</v>
      </c>
      <c r="L267" t="n">
        <v>1055</v>
      </c>
      <c r="M267" t="n">
        <v>1175</v>
      </c>
      <c r="N267" s="6" t="n">
        <v>12975</v>
      </c>
      <c r="O267">
        <f>SUM(C267:H267)</f>
        <v/>
      </c>
      <c r="P267">
        <f>I267</f>
        <v/>
      </c>
      <c r="Q267">
        <f>J267</f>
        <v/>
      </c>
      <c r="R267">
        <f>SUM(K267:M267)</f>
        <v/>
      </c>
      <c r="S267">
        <f>SUM(O267:R267)</f>
        <v/>
      </c>
      <c r="T267" s="3">
        <f>IF(S267=0,"",O267/S267)</f>
        <v/>
      </c>
      <c r="U267" s="3">
        <f>IF(S267=0,"",P267/S267)</f>
        <v/>
      </c>
      <c r="V267" s="3">
        <f>IF(S267=0,"",Q267/S267)</f>
        <v/>
      </c>
      <c r="W267" s="3">
        <f>IF(S267=0,"",R267/S267)</f>
        <v/>
      </c>
      <c r="X267" s="4">
        <f>IF(S267=0,"",T267*Pesos!$B$2+U267*Pesos!$B$3+V267*Pesos!$B$4+W267*Pesos!$B$5)</f>
        <v/>
      </c>
    </row>
    <row r="268">
      <c r="A268" s="2" t="n">
        <v>267</v>
      </c>
      <c r="B268" t="n">
        <v>11</v>
      </c>
      <c r="C268" t="n">
        <v>1205</v>
      </c>
      <c r="D268" t="n">
        <v>1685</v>
      </c>
      <c r="E268" t="n">
        <v>1065</v>
      </c>
      <c r="F268" t="n">
        <v>300</v>
      </c>
      <c r="G268" t="n">
        <v>655</v>
      </c>
      <c r="H268" t="n">
        <v>1045</v>
      </c>
      <c r="I268" t="n">
        <v>1740</v>
      </c>
      <c r="J268" t="n">
        <v>1840</v>
      </c>
      <c r="K268" t="n">
        <v>2175</v>
      </c>
      <c r="L268" t="n">
        <v>2315</v>
      </c>
      <c r="M268" t="n">
        <v>1775</v>
      </c>
      <c r="N268" s="6" t="n">
        <v>15795</v>
      </c>
      <c r="O268">
        <f>SUM(C268:H268)</f>
        <v/>
      </c>
      <c r="P268">
        <f>I268</f>
        <v/>
      </c>
      <c r="Q268">
        <f>J268</f>
        <v/>
      </c>
      <c r="R268">
        <f>SUM(K268:M268)</f>
        <v/>
      </c>
      <c r="S268">
        <f>SUM(O268:R268)</f>
        <v/>
      </c>
      <c r="T268" s="3">
        <f>IF(S268=0,"",O268/S268)</f>
        <v/>
      </c>
      <c r="U268" s="3">
        <f>IF(S268=0,"",P268/S268)</f>
        <v/>
      </c>
      <c r="V268" s="3">
        <f>IF(S268=0,"",Q268/S268)</f>
        <v/>
      </c>
      <c r="W268" s="3">
        <f>IF(S268=0,"",R268/S268)</f>
        <v/>
      </c>
      <c r="X268" s="4">
        <f>IF(S268=0,"",T268*Pesos!$B$2+U268*Pesos!$B$3+V268*Pesos!$B$4+W268*Pesos!$B$5)</f>
        <v/>
      </c>
    </row>
    <row r="269">
      <c r="A269" s="2" t="n">
        <v>268</v>
      </c>
      <c r="B269" t="n">
        <v>8</v>
      </c>
      <c r="C269" t="n">
        <v>760</v>
      </c>
      <c r="D269" t="n">
        <v>685</v>
      </c>
      <c r="E269" t="n">
        <v>475</v>
      </c>
      <c r="F269" t="n">
        <v>290</v>
      </c>
      <c r="G269" t="n">
        <v>225</v>
      </c>
      <c r="H269" t="n">
        <v>260</v>
      </c>
      <c r="I269" t="n">
        <v>1135</v>
      </c>
      <c r="J269" t="n">
        <v>1100</v>
      </c>
      <c r="K269" t="n">
        <v>1005</v>
      </c>
      <c r="L269" t="n">
        <v>965</v>
      </c>
      <c r="M269" t="n">
        <v>1455</v>
      </c>
      <c r="N269" s="6" t="n">
        <v>8355</v>
      </c>
      <c r="O269">
        <f>SUM(C269:H269)</f>
        <v/>
      </c>
      <c r="P269">
        <f>I269</f>
        <v/>
      </c>
      <c r="Q269">
        <f>J269</f>
        <v/>
      </c>
      <c r="R269">
        <f>SUM(K269:M269)</f>
        <v/>
      </c>
      <c r="S269">
        <f>SUM(O269:R269)</f>
        <v/>
      </c>
      <c r="T269" s="3">
        <f>IF(S269=0,"",O269/S269)</f>
        <v/>
      </c>
      <c r="U269" s="3">
        <f>IF(S269=0,"",P269/S269)</f>
        <v/>
      </c>
      <c r="V269" s="3">
        <f>IF(S269=0,"",Q269/S269)</f>
        <v/>
      </c>
      <c r="W269" s="3">
        <f>IF(S269=0,"",R269/S269)</f>
        <v/>
      </c>
      <c r="X269" s="4">
        <f>IF(S269=0,"",T269*Pesos!$B$2+U269*Pesos!$B$3+V269*Pesos!$B$4+W269*Pesos!$B$5)</f>
        <v/>
      </c>
    </row>
    <row r="270">
      <c r="A270" s="2" t="n">
        <v>269</v>
      </c>
      <c r="B270" t="n">
        <v>7</v>
      </c>
      <c r="C270" t="n">
        <v>1095</v>
      </c>
      <c r="D270" t="n">
        <v>1015</v>
      </c>
      <c r="E270" t="n">
        <v>620</v>
      </c>
      <c r="F270" t="n">
        <v>235</v>
      </c>
      <c r="G270" t="n">
        <v>520</v>
      </c>
      <c r="H270" t="n">
        <v>450</v>
      </c>
      <c r="I270" t="n">
        <v>2020</v>
      </c>
      <c r="J270" t="n">
        <v>1265</v>
      </c>
      <c r="K270" t="n">
        <v>765</v>
      </c>
      <c r="L270" t="n">
        <v>910</v>
      </c>
      <c r="M270" t="n">
        <v>1675</v>
      </c>
      <c r="N270" s="6" t="n">
        <v>10570</v>
      </c>
      <c r="O270">
        <f>SUM(C270:H270)</f>
        <v/>
      </c>
      <c r="P270">
        <f>I270</f>
        <v/>
      </c>
      <c r="Q270">
        <f>J270</f>
        <v/>
      </c>
      <c r="R270">
        <f>SUM(K270:M270)</f>
        <v/>
      </c>
      <c r="S270">
        <f>SUM(O270:R270)</f>
        <v/>
      </c>
      <c r="T270" s="3">
        <f>IF(S270=0,"",O270/S270)</f>
        <v/>
      </c>
      <c r="U270" s="3">
        <f>IF(S270=0,"",P270/S270)</f>
        <v/>
      </c>
      <c r="V270" s="3">
        <f>IF(S270=0,"",Q270/S270)</f>
        <v/>
      </c>
      <c r="W270" s="3">
        <f>IF(S270=0,"",R270/S270)</f>
        <v/>
      </c>
      <c r="X270" s="4">
        <f>IF(S270=0,"",T270*Pesos!$B$2+U270*Pesos!$B$3+V270*Pesos!$B$4+W270*Pesos!$B$5)</f>
        <v/>
      </c>
    </row>
    <row r="271">
      <c r="A271" s="2" t="n">
        <v>270</v>
      </c>
      <c r="B271" t="n">
        <v>10</v>
      </c>
      <c r="C271" t="n">
        <v>630</v>
      </c>
      <c r="D271" t="n">
        <v>655</v>
      </c>
      <c r="E271" t="n">
        <v>570</v>
      </c>
      <c r="F271" t="n">
        <v>660</v>
      </c>
      <c r="G271" t="n">
        <v>280</v>
      </c>
      <c r="H271" t="n">
        <v>400</v>
      </c>
      <c r="I271" t="n">
        <v>1370</v>
      </c>
      <c r="J271" t="n">
        <v>1595</v>
      </c>
      <c r="K271" t="n">
        <v>975</v>
      </c>
      <c r="L271" t="n">
        <v>1370</v>
      </c>
      <c r="M271" t="n">
        <v>1230</v>
      </c>
      <c r="N271" s="6" t="n">
        <v>9740</v>
      </c>
      <c r="O271">
        <f>SUM(C271:H271)</f>
        <v/>
      </c>
      <c r="P271">
        <f>I271</f>
        <v/>
      </c>
      <c r="Q271">
        <f>J271</f>
        <v/>
      </c>
      <c r="R271">
        <f>SUM(K271:M271)</f>
        <v/>
      </c>
      <c r="S271">
        <f>SUM(O271:R271)</f>
        <v/>
      </c>
      <c r="T271" s="3">
        <f>IF(S271=0,"",O271/S271)</f>
        <v/>
      </c>
      <c r="U271" s="3">
        <f>IF(S271=0,"",P271/S271)</f>
        <v/>
      </c>
      <c r="V271" s="3">
        <f>IF(S271=0,"",Q271/S271)</f>
        <v/>
      </c>
      <c r="W271" s="3">
        <f>IF(S271=0,"",R271/S271)</f>
        <v/>
      </c>
      <c r="X271" s="4">
        <f>IF(S271=0,"",T271*Pesos!$B$2+U271*Pesos!$B$3+V271*Pesos!$B$4+W271*Pesos!$B$5)</f>
        <v/>
      </c>
    </row>
    <row r="272">
      <c r="A272" s="2" t="n">
        <v>271</v>
      </c>
      <c r="B272" t="n">
        <v>7</v>
      </c>
      <c r="C272" t="n">
        <v>155</v>
      </c>
      <c r="D272" t="n">
        <v>350</v>
      </c>
      <c r="E272" t="n">
        <v>240</v>
      </c>
      <c r="F272" t="n">
        <v>455</v>
      </c>
      <c r="G272" t="n">
        <v>430</v>
      </c>
      <c r="H272" t="n">
        <v>175</v>
      </c>
      <c r="I272" t="n">
        <v>820</v>
      </c>
      <c r="J272" t="n">
        <v>1560</v>
      </c>
      <c r="K272" t="n">
        <v>2085</v>
      </c>
      <c r="L272" t="n">
        <v>2015</v>
      </c>
      <c r="M272" t="n">
        <v>540</v>
      </c>
      <c r="N272" s="6" t="n">
        <v>8820</v>
      </c>
      <c r="O272">
        <f>SUM(C272:H272)</f>
        <v/>
      </c>
      <c r="P272">
        <f>I272</f>
        <v/>
      </c>
      <c r="Q272">
        <f>J272</f>
        <v/>
      </c>
      <c r="R272">
        <f>SUM(K272:M272)</f>
        <v/>
      </c>
      <c r="S272">
        <f>SUM(O272:R272)</f>
        <v/>
      </c>
      <c r="T272" s="3">
        <f>IF(S272=0,"",O272/S272)</f>
        <v/>
      </c>
      <c r="U272" s="3">
        <f>IF(S272=0,"",P272/S272)</f>
        <v/>
      </c>
      <c r="V272" s="3">
        <f>IF(S272=0,"",Q272/S272)</f>
        <v/>
      </c>
      <c r="W272" s="3">
        <f>IF(S272=0,"",R272/S272)</f>
        <v/>
      </c>
      <c r="X272" s="4">
        <f>IF(S272=0,"",T272*Pesos!$B$2+U272*Pesos!$B$3+V272*Pesos!$B$4+W272*Pesos!$B$5)</f>
        <v/>
      </c>
    </row>
    <row r="273">
      <c r="A273" s="2" t="n">
        <v>272</v>
      </c>
      <c r="B273" t="n">
        <v>7</v>
      </c>
      <c r="C273" t="n">
        <v>365</v>
      </c>
      <c r="D273" t="n">
        <v>445</v>
      </c>
      <c r="E273" t="n">
        <v>345</v>
      </c>
      <c r="F273" t="n">
        <v>585</v>
      </c>
      <c r="G273" t="n">
        <v>385</v>
      </c>
      <c r="H273" t="n">
        <v>520</v>
      </c>
      <c r="I273" t="n">
        <v>2190</v>
      </c>
      <c r="J273" t="n">
        <v>2120</v>
      </c>
      <c r="K273" t="n">
        <v>1720</v>
      </c>
      <c r="L273" t="n">
        <v>945</v>
      </c>
      <c r="M273" t="n">
        <v>930</v>
      </c>
      <c r="N273" s="6" t="n">
        <v>10560</v>
      </c>
      <c r="O273">
        <f>SUM(C273:H273)</f>
        <v/>
      </c>
      <c r="P273">
        <f>I273</f>
        <v/>
      </c>
      <c r="Q273">
        <f>J273</f>
        <v/>
      </c>
      <c r="R273">
        <f>SUM(K273:M273)</f>
        <v/>
      </c>
      <c r="S273">
        <f>SUM(O273:R273)</f>
        <v/>
      </c>
      <c r="T273" s="3">
        <f>IF(S273=0,"",O273/S273)</f>
        <v/>
      </c>
      <c r="U273" s="3">
        <f>IF(S273=0,"",P273/S273)</f>
        <v/>
      </c>
      <c r="V273" s="3">
        <f>IF(S273=0,"",Q273/S273)</f>
        <v/>
      </c>
      <c r="W273" s="3">
        <f>IF(S273=0,"",R273/S273)</f>
        <v/>
      </c>
      <c r="X273" s="4">
        <f>IF(S273=0,"",T273*Pesos!$B$2+U273*Pesos!$B$3+V273*Pesos!$B$4+W273*Pesos!$B$5)</f>
        <v/>
      </c>
    </row>
    <row r="274">
      <c r="A274" s="2" t="n">
        <v>273</v>
      </c>
      <c r="B274" t="n">
        <v>12</v>
      </c>
      <c r="C274" t="n">
        <v>1600</v>
      </c>
      <c r="D274" t="n">
        <v>1465</v>
      </c>
      <c r="E274" t="n">
        <v>1395</v>
      </c>
      <c r="F274" t="n">
        <v>635</v>
      </c>
      <c r="G274" t="n">
        <v>950</v>
      </c>
      <c r="H274" t="n">
        <v>810</v>
      </c>
      <c r="I274" t="n">
        <v>2520</v>
      </c>
      <c r="J274" t="n">
        <v>1940</v>
      </c>
      <c r="K274" t="n">
        <v>960</v>
      </c>
      <c r="L274" t="n">
        <v>1310</v>
      </c>
      <c r="M274" t="n">
        <v>1750</v>
      </c>
      <c r="N274" s="6" t="n">
        <v>15330</v>
      </c>
      <c r="O274">
        <f>SUM(C274:H274)</f>
        <v/>
      </c>
      <c r="P274">
        <f>I274</f>
        <v/>
      </c>
      <c r="Q274">
        <f>J274</f>
        <v/>
      </c>
      <c r="R274">
        <f>SUM(K274:M274)</f>
        <v/>
      </c>
      <c r="S274">
        <f>SUM(O274:R274)</f>
        <v/>
      </c>
      <c r="T274" s="3">
        <f>IF(S274=0,"",O274/S274)</f>
        <v/>
      </c>
      <c r="U274" s="3">
        <f>IF(S274=0,"",P274/S274)</f>
        <v/>
      </c>
      <c r="V274" s="3">
        <f>IF(S274=0,"",Q274/S274)</f>
        <v/>
      </c>
      <c r="W274" s="3">
        <f>IF(S274=0,"",R274/S274)</f>
        <v/>
      </c>
      <c r="X274" s="4">
        <f>IF(S274=0,"",T274*Pesos!$B$2+U274*Pesos!$B$3+V274*Pesos!$B$4+W274*Pesos!$B$5)</f>
        <v/>
      </c>
    </row>
    <row r="275">
      <c r="A275" s="2" t="n">
        <v>274</v>
      </c>
      <c r="B275" t="n">
        <v>7</v>
      </c>
      <c r="C275" t="n">
        <v>1540</v>
      </c>
      <c r="D275" t="n">
        <v>765</v>
      </c>
      <c r="E275" t="n">
        <v>350</v>
      </c>
      <c r="F275" t="n">
        <v>455</v>
      </c>
      <c r="G275" t="n">
        <v>570</v>
      </c>
      <c r="H275" t="n">
        <v>330</v>
      </c>
      <c r="I275" t="n">
        <v>2350</v>
      </c>
      <c r="J275" t="n">
        <v>1620</v>
      </c>
      <c r="K275" t="n">
        <v>855</v>
      </c>
      <c r="L275" t="n">
        <v>855</v>
      </c>
      <c r="M275" t="n">
        <v>920</v>
      </c>
      <c r="N275" s="6" t="n">
        <v>10615</v>
      </c>
      <c r="O275">
        <f>SUM(C275:H275)</f>
        <v/>
      </c>
      <c r="P275">
        <f>I275</f>
        <v/>
      </c>
      <c r="Q275">
        <f>J275</f>
        <v/>
      </c>
      <c r="R275">
        <f>SUM(K275:M275)</f>
        <v/>
      </c>
      <c r="S275">
        <f>SUM(O275:R275)</f>
        <v/>
      </c>
      <c r="T275" s="3">
        <f>IF(S275=0,"",O275/S275)</f>
        <v/>
      </c>
      <c r="U275" s="3">
        <f>IF(S275=0,"",P275/S275)</f>
        <v/>
      </c>
      <c r="V275" s="3">
        <f>IF(S275=0,"",Q275/S275)</f>
        <v/>
      </c>
      <c r="W275" s="3">
        <f>IF(S275=0,"",R275/S275)</f>
        <v/>
      </c>
      <c r="X275" s="4">
        <f>IF(S275=0,"",T275*Pesos!$B$2+U275*Pesos!$B$3+V275*Pesos!$B$4+W275*Pesos!$B$5)</f>
        <v/>
      </c>
    </row>
    <row r="276">
      <c r="A276" s="2" t="n">
        <v>275</v>
      </c>
      <c r="B276" t="n">
        <v>7</v>
      </c>
      <c r="C276" t="n">
        <v>185</v>
      </c>
      <c r="D276" t="n">
        <v>100</v>
      </c>
      <c r="E276" t="n">
        <v>170</v>
      </c>
      <c r="F276" t="n">
        <v>155</v>
      </c>
      <c r="G276" t="n">
        <v>85</v>
      </c>
      <c r="H276" t="n">
        <v>240</v>
      </c>
      <c r="I276" t="n">
        <v>595</v>
      </c>
      <c r="J276" t="n">
        <v>740</v>
      </c>
      <c r="K276" t="n">
        <v>1915</v>
      </c>
      <c r="L276" t="n">
        <v>550</v>
      </c>
      <c r="M276" t="n">
        <v>640</v>
      </c>
      <c r="N276" s="6" t="n">
        <v>5375</v>
      </c>
      <c r="O276">
        <f>SUM(C276:H276)</f>
        <v/>
      </c>
      <c r="P276">
        <f>I276</f>
        <v/>
      </c>
      <c r="Q276">
        <f>J276</f>
        <v/>
      </c>
      <c r="R276">
        <f>SUM(K276:M276)</f>
        <v/>
      </c>
      <c r="S276">
        <f>SUM(O276:R276)</f>
        <v/>
      </c>
      <c r="T276" s="3">
        <f>IF(S276=0,"",O276/S276)</f>
        <v/>
      </c>
      <c r="U276" s="3">
        <f>IF(S276=0,"",P276/S276)</f>
        <v/>
      </c>
      <c r="V276" s="3">
        <f>IF(S276=0,"",Q276/S276)</f>
        <v/>
      </c>
      <c r="W276" s="3">
        <f>IF(S276=0,"",R276/S276)</f>
        <v/>
      </c>
      <c r="X276" s="4">
        <f>IF(S276=0,"",T276*Pesos!$B$2+U276*Pesos!$B$3+V276*Pesos!$B$4+W276*Pesos!$B$5)</f>
        <v/>
      </c>
    </row>
    <row r="277">
      <c r="A277" s="2" t="n">
        <v>276</v>
      </c>
      <c r="B277" t="n">
        <v>7</v>
      </c>
      <c r="C277" t="n">
        <v>540</v>
      </c>
      <c r="D277" t="n">
        <v>685</v>
      </c>
      <c r="E277" t="n">
        <v>930</v>
      </c>
      <c r="F277" t="n">
        <v>685</v>
      </c>
      <c r="G277" t="n">
        <v>545</v>
      </c>
      <c r="H277" t="n">
        <v>445</v>
      </c>
      <c r="I277" t="n">
        <v>1725</v>
      </c>
      <c r="J277" t="n">
        <v>1655</v>
      </c>
      <c r="K277" t="n">
        <v>1165</v>
      </c>
      <c r="L277" t="n">
        <v>1485</v>
      </c>
      <c r="M277" t="n">
        <v>1400</v>
      </c>
      <c r="N277" s="6" t="n">
        <v>11265</v>
      </c>
      <c r="O277">
        <f>SUM(C277:H277)</f>
        <v/>
      </c>
      <c r="P277">
        <f>I277</f>
        <v/>
      </c>
      <c r="Q277">
        <f>J277</f>
        <v/>
      </c>
      <c r="R277">
        <f>SUM(K277:M277)</f>
        <v/>
      </c>
      <c r="S277">
        <f>SUM(O277:R277)</f>
        <v/>
      </c>
      <c r="T277" s="3">
        <f>IF(S277=0,"",O277/S277)</f>
        <v/>
      </c>
      <c r="U277" s="3">
        <f>IF(S277=0,"",P277/S277)</f>
        <v/>
      </c>
      <c r="V277" s="3">
        <f>IF(S277=0,"",Q277/S277)</f>
        <v/>
      </c>
      <c r="W277" s="3">
        <f>IF(S277=0,"",R277/S277)</f>
        <v/>
      </c>
      <c r="X277" s="4">
        <f>IF(S277=0,"",T277*Pesos!$B$2+U277*Pesos!$B$3+V277*Pesos!$B$4+W277*Pesos!$B$5)</f>
        <v/>
      </c>
    </row>
    <row r="278">
      <c r="A278" s="2" t="n">
        <v>277</v>
      </c>
      <c r="B278" t="n">
        <v>7</v>
      </c>
      <c r="C278" t="n">
        <v>795</v>
      </c>
      <c r="D278" t="n">
        <v>1225</v>
      </c>
      <c r="E278" t="n">
        <v>1400</v>
      </c>
      <c r="F278" t="n">
        <v>1020</v>
      </c>
      <c r="G278" t="n">
        <v>1295</v>
      </c>
      <c r="H278" t="n">
        <v>3550</v>
      </c>
      <c r="I278" t="n">
        <v>5140</v>
      </c>
      <c r="J278" t="n">
        <v>685</v>
      </c>
      <c r="K278" t="n">
        <v>620</v>
      </c>
      <c r="L278" t="n">
        <v>535</v>
      </c>
      <c r="M278" t="n">
        <v>300</v>
      </c>
      <c r="N278" s="6" t="n">
        <v>16565</v>
      </c>
      <c r="O278">
        <f>SUM(C278:H278)</f>
        <v/>
      </c>
      <c r="P278">
        <f>I278</f>
        <v/>
      </c>
      <c r="Q278">
        <f>J278</f>
        <v/>
      </c>
      <c r="R278">
        <f>SUM(K278:M278)</f>
        <v/>
      </c>
      <c r="S278">
        <f>SUM(O278:R278)</f>
        <v/>
      </c>
      <c r="T278" s="3">
        <f>IF(S278=0,"",O278/S278)</f>
        <v/>
      </c>
      <c r="U278" s="3">
        <f>IF(S278=0,"",P278/S278)</f>
        <v/>
      </c>
      <c r="V278" s="3">
        <f>IF(S278=0,"",Q278/S278)</f>
        <v/>
      </c>
      <c r="W278" s="3">
        <f>IF(S278=0,"",R278/S278)</f>
        <v/>
      </c>
      <c r="X278" s="4">
        <f>IF(S278=0,"",T278*Pesos!$B$2+U278*Pesos!$B$3+V278*Pesos!$B$4+W278*Pesos!$B$5)</f>
        <v/>
      </c>
    </row>
    <row r="279">
      <c r="A279" s="2" t="n">
        <v>278</v>
      </c>
      <c r="B279" t="n">
        <v>9</v>
      </c>
      <c r="C279" t="n">
        <v>585</v>
      </c>
      <c r="D279" t="n">
        <v>900</v>
      </c>
      <c r="E279" t="n">
        <v>420</v>
      </c>
      <c r="F279" t="n">
        <v>590</v>
      </c>
      <c r="G279" t="n">
        <v>330</v>
      </c>
      <c r="H279" t="n">
        <v>530</v>
      </c>
      <c r="I279" t="n">
        <v>2365</v>
      </c>
      <c r="J279" t="n">
        <v>2285</v>
      </c>
      <c r="K279" t="n">
        <v>1005</v>
      </c>
      <c r="L279" t="n">
        <v>1575</v>
      </c>
      <c r="M279" t="n">
        <v>1095</v>
      </c>
      <c r="N279" s="6" t="n">
        <v>11675</v>
      </c>
      <c r="O279">
        <f>SUM(C279:H279)</f>
        <v/>
      </c>
      <c r="P279">
        <f>I279</f>
        <v/>
      </c>
      <c r="Q279">
        <f>J279</f>
        <v/>
      </c>
      <c r="R279">
        <f>SUM(K279:M279)</f>
        <v/>
      </c>
      <c r="S279">
        <f>SUM(O279:R279)</f>
        <v/>
      </c>
      <c r="T279" s="3">
        <f>IF(S279=0,"",O279/S279)</f>
        <v/>
      </c>
      <c r="U279" s="3">
        <f>IF(S279=0,"",P279/S279)</f>
        <v/>
      </c>
      <c r="V279" s="3">
        <f>IF(S279=0,"",Q279/S279)</f>
        <v/>
      </c>
      <c r="W279" s="3">
        <f>IF(S279=0,"",R279/S279)</f>
        <v/>
      </c>
      <c r="X279" s="4">
        <f>IF(S279=0,"",T279*Pesos!$B$2+U279*Pesos!$B$3+V279*Pesos!$B$4+W279*Pesos!$B$5)</f>
        <v/>
      </c>
    </row>
    <row r="280">
      <c r="A280" s="2" t="n">
        <v>279</v>
      </c>
      <c r="B280" t="n">
        <v>7</v>
      </c>
      <c r="C280" t="n">
        <v>775</v>
      </c>
      <c r="D280" t="n">
        <v>1395</v>
      </c>
      <c r="E280" t="n">
        <v>1070</v>
      </c>
      <c r="F280" t="n">
        <v>1425</v>
      </c>
      <c r="G280" t="n">
        <v>1615</v>
      </c>
      <c r="H280" t="n">
        <v>2300</v>
      </c>
      <c r="I280" t="n">
        <v>7070</v>
      </c>
      <c r="J280" t="n">
        <v>430</v>
      </c>
      <c r="K280" t="n">
        <v>95</v>
      </c>
      <c r="L280" t="n">
        <v>210</v>
      </c>
      <c r="M280" t="n">
        <v>120</v>
      </c>
      <c r="N280" s="6" t="n">
        <v>16510</v>
      </c>
      <c r="O280">
        <f>SUM(C280:H280)</f>
        <v/>
      </c>
      <c r="P280">
        <f>I280</f>
        <v/>
      </c>
      <c r="Q280">
        <f>J280</f>
        <v/>
      </c>
      <c r="R280">
        <f>SUM(K280:M280)</f>
        <v/>
      </c>
      <c r="S280">
        <f>SUM(O280:R280)</f>
        <v/>
      </c>
      <c r="T280" s="3">
        <f>IF(S280=0,"",O280/S280)</f>
        <v/>
      </c>
      <c r="U280" s="3">
        <f>IF(S280=0,"",P280/S280)</f>
        <v/>
      </c>
      <c r="V280" s="3">
        <f>IF(S280=0,"",Q280/S280)</f>
        <v/>
      </c>
      <c r="W280" s="3">
        <f>IF(S280=0,"",R280/S280)</f>
        <v/>
      </c>
      <c r="X280" s="4">
        <f>IF(S280=0,"",T280*Pesos!$B$2+U280*Pesos!$B$3+V280*Pesos!$B$4+W280*Pesos!$B$5)</f>
        <v/>
      </c>
    </row>
    <row r="281">
      <c r="A281" s="2" t="n">
        <v>280</v>
      </c>
      <c r="B281" t="n">
        <v>7</v>
      </c>
      <c r="C281" t="n">
        <v>595</v>
      </c>
      <c r="D281" t="n">
        <v>370</v>
      </c>
      <c r="E281" t="n">
        <v>480</v>
      </c>
      <c r="F281" t="n">
        <v>285</v>
      </c>
      <c r="G281" t="n">
        <v>185</v>
      </c>
      <c r="H281" t="n">
        <v>285</v>
      </c>
      <c r="I281" t="n">
        <v>1130</v>
      </c>
      <c r="J281" t="n">
        <v>1550</v>
      </c>
      <c r="K281" t="n">
        <v>725</v>
      </c>
      <c r="L281" t="n">
        <v>1100</v>
      </c>
      <c r="M281" t="n">
        <v>1380</v>
      </c>
      <c r="N281" s="6" t="n">
        <v>8095</v>
      </c>
      <c r="O281">
        <f>SUM(C281:H281)</f>
        <v/>
      </c>
      <c r="P281">
        <f>I281</f>
        <v/>
      </c>
      <c r="Q281">
        <f>J281</f>
        <v/>
      </c>
      <c r="R281">
        <f>SUM(K281:M281)</f>
        <v/>
      </c>
      <c r="S281">
        <f>SUM(O281:R281)</f>
        <v/>
      </c>
      <c r="T281" s="3">
        <f>IF(S281=0,"",O281/S281)</f>
        <v/>
      </c>
      <c r="U281" s="3">
        <f>IF(S281=0,"",P281/S281)</f>
        <v/>
      </c>
      <c r="V281" s="3">
        <f>IF(S281=0,"",Q281/S281)</f>
        <v/>
      </c>
      <c r="W281" s="3">
        <f>IF(S281=0,"",R281/S281)</f>
        <v/>
      </c>
      <c r="X281" s="4">
        <f>IF(S281=0,"",T281*Pesos!$B$2+U281*Pesos!$B$3+V281*Pesos!$B$4+W281*Pesos!$B$5)</f>
        <v/>
      </c>
    </row>
    <row r="282">
      <c r="A282" s="2" t="n">
        <v>281</v>
      </c>
      <c r="B282" t="n">
        <v>7</v>
      </c>
      <c r="C282" t="n">
        <v>910</v>
      </c>
      <c r="D282" t="n">
        <v>540</v>
      </c>
      <c r="E282" t="n">
        <v>510</v>
      </c>
      <c r="F282" t="n">
        <v>260</v>
      </c>
      <c r="G282" t="n">
        <v>345</v>
      </c>
      <c r="H282" t="n">
        <v>365</v>
      </c>
      <c r="I282" t="n">
        <v>1645</v>
      </c>
      <c r="J282" t="n">
        <v>1725</v>
      </c>
      <c r="K282" t="n">
        <v>1195</v>
      </c>
      <c r="L282" t="n">
        <v>1195</v>
      </c>
      <c r="M282" t="n">
        <v>1305</v>
      </c>
      <c r="N282" s="6" t="n">
        <v>9995</v>
      </c>
      <c r="O282">
        <f>SUM(C282:H282)</f>
        <v/>
      </c>
      <c r="P282">
        <f>I282</f>
        <v/>
      </c>
      <c r="Q282">
        <f>J282</f>
        <v/>
      </c>
      <c r="R282">
        <f>SUM(K282:M282)</f>
        <v/>
      </c>
      <c r="S282">
        <f>SUM(O282:R282)</f>
        <v/>
      </c>
      <c r="T282" s="3">
        <f>IF(S282=0,"",O282/S282)</f>
        <v/>
      </c>
      <c r="U282" s="3">
        <f>IF(S282=0,"",P282/S282)</f>
        <v/>
      </c>
      <c r="V282" s="3">
        <f>IF(S282=0,"",Q282/S282)</f>
        <v/>
      </c>
      <c r="W282" s="3">
        <f>IF(S282=0,"",R282/S282)</f>
        <v/>
      </c>
      <c r="X282" s="4">
        <f>IF(S282=0,"",T282*Pesos!$B$2+U282*Pesos!$B$3+V282*Pesos!$B$4+W282*Pesos!$B$5)</f>
        <v/>
      </c>
    </row>
    <row r="283">
      <c r="A283" s="2" t="n">
        <v>282</v>
      </c>
      <c r="B283" t="n">
        <v>9</v>
      </c>
      <c r="C283" t="n">
        <v>640</v>
      </c>
      <c r="D283" t="n">
        <v>720</v>
      </c>
      <c r="E283" t="n">
        <v>300</v>
      </c>
      <c r="F283" t="n">
        <v>650</v>
      </c>
      <c r="G283" t="n">
        <v>560</v>
      </c>
      <c r="H283" t="n">
        <v>565</v>
      </c>
      <c r="I283" t="n">
        <v>2695</v>
      </c>
      <c r="J283" t="n">
        <v>1210</v>
      </c>
      <c r="K283" t="n">
        <v>2485</v>
      </c>
      <c r="L283" t="n">
        <v>1030</v>
      </c>
      <c r="M283" t="n">
        <v>1105</v>
      </c>
      <c r="N283" s="6" t="n">
        <v>11955</v>
      </c>
      <c r="O283">
        <f>SUM(C283:H283)</f>
        <v/>
      </c>
      <c r="P283">
        <f>I283</f>
        <v/>
      </c>
      <c r="Q283">
        <f>J283</f>
        <v/>
      </c>
      <c r="R283">
        <f>SUM(K283:M283)</f>
        <v/>
      </c>
      <c r="S283">
        <f>SUM(O283:R283)</f>
        <v/>
      </c>
      <c r="T283" s="3">
        <f>IF(S283=0,"",O283/S283)</f>
        <v/>
      </c>
      <c r="U283" s="3">
        <f>IF(S283=0,"",P283/S283)</f>
        <v/>
      </c>
      <c r="V283" s="3">
        <f>IF(S283=0,"",Q283/S283)</f>
        <v/>
      </c>
      <c r="W283" s="3">
        <f>IF(S283=0,"",R283/S283)</f>
        <v/>
      </c>
      <c r="X283" s="4">
        <f>IF(S283=0,"",T283*Pesos!$B$2+U283*Pesos!$B$3+V283*Pesos!$B$4+W283*Pesos!$B$5)</f>
        <v/>
      </c>
    </row>
    <row r="284">
      <c r="A284" s="2" t="n">
        <v>283</v>
      </c>
      <c r="B284" t="n">
        <v>9</v>
      </c>
      <c r="C284" t="n">
        <v>685</v>
      </c>
      <c r="D284" t="n">
        <v>485</v>
      </c>
      <c r="E284" t="n">
        <v>590</v>
      </c>
      <c r="F284" t="n">
        <v>500</v>
      </c>
      <c r="G284" t="n">
        <v>520</v>
      </c>
      <c r="H284" t="n">
        <v>410</v>
      </c>
      <c r="I284" t="n">
        <v>3550</v>
      </c>
      <c r="J284" t="n">
        <v>2140</v>
      </c>
      <c r="K284" t="n">
        <v>2665</v>
      </c>
      <c r="L284" t="n">
        <v>1540</v>
      </c>
      <c r="M284" t="n">
        <v>95</v>
      </c>
      <c r="N284" s="6" t="n">
        <v>13175</v>
      </c>
      <c r="O284">
        <f>SUM(C284:H284)</f>
        <v/>
      </c>
      <c r="P284">
        <f>I284</f>
        <v/>
      </c>
      <c r="Q284">
        <f>J284</f>
        <v/>
      </c>
      <c r="R284">
        <f>SUM(K284:M284)</f>
        <v/>
      </c>
      <c r="S284">
        <f>SUM(O284:R284)</f>
        <v/>
      </c>
      <c r="T284" s="3">
        <f>IF(S284=0,"",O284/S284)</f>
        <v/>
      </c>
      <c r="U284" s="3">
        <f>IF(S284=0,"",P284/S284)</f>
        <v/>
      </c>
      <c r="V284" s="3">
        <f>IF(S284=0,"",Q284/S284)</f>
        <v/>
      </c>
      <c r="W284" s="3">
        <f>IF(S284=0,"",R284/S284)</f>
        <v/>
      </c>
      <c r="X284" s="4">
        <f>IF(S284=0,"",T284*Pesos!$B$2+U284*Pesos!$B$3+V284*Pesos!$B$4+W284*Pesos!$B$5)</f>
        <v/>
      </c>
    </row>
    <row r="285">
      <c r="A285" s="2" t="n">
        <v>284</v>
      </c>
      <c r="B285" t="n">
        <v>7</v>
      </c>
      <c r="C285" t="n">
        <v>235</v>
      </c>
      <c r="D285" t="n">
        <v>505</v>
      </c>
      <c r="E285" t="n">
        <v>190</v>
      </c>
      <c r="F285" t="n">
        <v>130</v>
      </c>
      <c r="G285" t="n">
        <v>205</v>
      </c>
      <c r="H285" t="n">
        <v>285</v>
      </c>
      <c r="I285" t="n">
        <v>465</v>
      </c>
      <c r="J285" t="n">
        <v>1095</v>
      </c>
      <c r="K285" t="n">
        <v>2415</v>
      </c>
      <c r="L285" t="n">
        <v>420</v>
      </c>
      <c r="M285" t="n">
        <v>470</v>
      </c>
      <c r="N285" s="6" t="n">
        <v>6405</v>
      </c>
      <c r="O285">
        <f>SUM(C285:H285)</f>
        <v/>
      </c>
      <c r="P285">
        <f>I285</f>
        <v/>
      </c>
      <c r="Q285">
        <f>J285</f>
        <v/>
      </c>
      <c r="R285">
        <f>SUM(K285:M285)</f>
        <v/>
      </c>
      <c r="S285">
        <f>SUM(O285:R285)</f>
        <v/>
      </c>
      <c r="T285" s="3">
        <f>IF(S285=0,"",O285/S285)</f>
        <v/>
      </c>
      <c r="U285" s="3">
        <f>IF(S285=0,"",P285/S285)</f>
        <v/>
      </c>
      <c r="V285" s="3">
        <f>IF(S285=0,"",Q285/S285)</f>
        <v/>
      </c>
      <c r="W285" s="3">
        <f>IF(S285=0,"",R285/S285)</f>
        <v/>
      </c>
      <c r="X285" s="4">
        <f>IF(S285=0,"",T285*Pesos!$B$2+U285*Pesos!$B$3+V285*Pesos!$B$4+W285*Pesos!$B$5)</f>
        <v/>
      </c>
    </row>
    <row r="286">
      <c r="A286" s="2" t="n">
        <v>285</v>
      </c>
      <c r="B286" t="n">
        <v>9</v>
      </c>
      <c r="C286" t="n">
        <v>1180</v>
      </c>
      <c r="D286" t="n">
        <v>1465</v>
      </c>
      <c r="E286" t="n">
        <v>910</v>
      </c>
      <c r="F286" t="n">
        <v>945</v>
      </c>
      <c r="G286" t="n">
        <v>1250</v>
      </c>
      <c r="H286" t="n">
        <v>1065</v>
      </c>
      <c r="I286" t="n">
        <v>5765</v>
      </c>
      <c r="J286" t="n">
        <v>6790</v>
      </c>
      <c r="K286" t="n">
        <v>510</v>
      </c>
      <c r="L286" t="n">
        <v>175</v>
      </c>
      <c r="M286" t="n">
        <v>235</v>
      </c>
      <c r="N286" s="6" t="n">
        <v>20285</v>
      </c>
      <c r="O286">
        <f>SUM(C286:H286)</f>
        <v/>
      </c>
      <c r="P286">
        <f>I286</f>
        <v/>
      </c>
      <c r="Q286">
        <f>J286</f>
        <v/>
      </c>
      <c r="R286">
        <f>SUM(K286:M286)</f>
        <v/>
      </c>
      <c r="S286">
        <f>SUM(O286:R286)</f>
        <v/>
      </c>
      <c r="T286" s="3">
        <f>IF(S286=0,"",O286/S286)</f>
        <v/>
      </c>
      <c r="U286" s="3">
        <f>IF(S286=0,"",P286/S286)</f>
        <v/>
      </c>
      <c r="V286" s="3">
        <f>IF(S286=0,"",Q286/S286)</f>
        <v/>
      </c>
      <c r="W286" s="3">
        <f>IF(S286=0,"",R286/S286)</f>
        <v/>
      </c>
      <c r="X286" s="4">
        <f>IF(S286=0,"",T286*Pesos!$B$2+U286*Pesos!$B$3+V286*Pesos!$B$4+W286*Pesos!$B$5)</f>
        <v/>
      </c>
    </row>
    <row r="287">
      <c r="A287" s="2" t="n">
        <v>286</v>
      </c>
      <c r="B287" t="n">
        <v>10</v>
      </c>
      <c r="C287" t="n">
        <v>835</v>
      </c>
      <c r="D287" t="n">
        <v>755</v>
      </c>
      <c r="E287" t="n">
        <v>995</v>
      </c>
      <c r="F287" t="n">
        <v>380</v>
      </c>
      <c r="G287" t="n">
        <v>595</v>
      </c>
      <c r="H287" t="n">
        <v>585</v>
      </c>
      <c r="I287" t="n">
        <v>3155</v>
      </c>
      <c r="J287" t="n">
        <v>2535</v>
      </c>
      <c r="K287" t="n">
        <v>2105</v>
      </c>
      <c r="L287" t="n">
        <v>1080</v>
      </c>
      <c r="M287" t="n">
        <v>1190</v>
      </c>
      <c r="N287" s="6" t="n">
        <v>14205</v>
      </c>
      <c r="O287">
        <f>SUM(C287:H287)</f>
        <v/>
      </c>
      <c r="P287">
        <f>I287</f>
        <v/>
      </c>
      <c r="Q287">
        <f>J287</f>
        <v/>
      </c>
      <c r="R287">
        <f>SUM(K287:M287)</f>
        <v/>
      </c>
      <c r="S287">
        <f>SUM(O287:R287)</f>
        <v/>
      </c>
      <c r="T287" s="3">
        <f>IF(S287=0,"",O287/S287)</f>
        <v/>
      </c>
      <c r="U287" s="3">
        <f>IF(S287=0,"",P287/S287)</f>
        <v/>
      </c>
      <c r="V287" s="3">
        <f>IF(S287=0,"",Q287/S287)</f>
        <v/>
      </c>
      <c r="W287" s="3">
        <f>IF(S287=0,"",R287/S287)</f>
        <v/>
      </c>
      <c r="X287" s="4">
        <f>IF(S287=0,"",T287*Pesos!$B$2+U287*Pesos!$B$3+V287*Pesos!$B$4+W287*Pesos!$B$5)</f>
        <v/>
      </c>
    </row>
    <row r="288">
      <c r="A288" s="2" t="n">
        <v>287</v>
      </c>
      <c r="B288" t="n">
        <v>7</v>
      </c>
      <c r="C288" t="n">
        <v>720</v>
      </c>
      <c r="D288" t="n">
        <v>920</v>
      </c>
      <c r="E288" t="n">
        <v>800</v>
      </c>
      <c r="F288" t="n">
        <v>945</v>
      </c>
      <c r="G288" t="n">
        <v>875</v>
      </c>
      <c r="H288" t="n">
        <v>1735</v>
      </c>
      <c r="I288" t="n">
        <v>1355</v>
      </c>
      <c r="J288" t="n">
        <v>590</v>
      </c>
      <c r="K288" t="n">
        <v>625</v>
      </c>
      <c r="L288" t="n">
        <v>440</v>
      </c>
      <c r="M288" t="n">
        <v>1100</v>
      </c>
      <c r="N288" s="6" t="n">
        <v>10100</v>
      </c>
      <c r="O288">
        <f>SUM(C288:H288)</f>
        <v/>
      </c>
      <c r="P288">
        <f>I288</f>
        <v/>
      </c>
      <c r="Q288">
        <f>J288</f>
        <v/>
      </c>
      <c r="R288">
        <f>SUM(K288:M288)</f>
        <v/>
      </c>
      <c r="S288">
        <f>SUM(O288:R288)</f>
        <v/>
      </c>
      <c r="T288" s="3">
        <f>IF(S288=0,"",O288/S288)</f>
        <v/>
      </c>
      <c r="U288" s="3">
        <f>IF(S288=0,"",P288/S288)</f>
        <v/>
      </c>
      <c r="V288" s="3">
        <f>IF(S288=0,"",Q288/S288)</f>
        <v/>
      </c>
      <c r="W288" s="3">
        <f>IF(S288=0,"",R288/S288)</f>
        <v/>
      </c>
      <c r="X288" s="4">
        <f>IF(S288=0,"",T288*Pesos!$B$2+U288*Pesos!$B$3+V288*Pesos!$B$4+W288*Pesos!$B$5)</f>
        <v/>
      </c>
    </row>
    <row r="289">
      <c r="A289" s="2" t="n">
        <v>288</v>
      </c>
      <c r="B289" t="n">
        <v>10</v>
      </c>
      <c r="C289" t="n">
        <v>550</v>
      </c>
      <c r="D289" t="n">
        <v>900</v>
      </c>
      <c r="E289" t="n">
        <v>410</v>
      </c>
      <c r="F289" t="n">
        <v>475</v>
      </c>
      <c r="G289" t="n">
        <v>565</v>
      </c>
      <c r="H289" t="n">
        <v>510</v>
      </c>
      <c r="I289" t="n">
        <v>1685</v>
      </c>
      <c r="J289" t="n">
        <v>2095</v>
      </c>
      <c r="K289" t="n">
        <v>2400</v>
      </c>
      <c r="L289" t="n">
        <v>825</v>
      </c>
      <c r="M289" t="n">
        <v>1265</v>
      </c>
      <c r="N289" s="6" t="n">
        <v>11675</v>
      </c>
      <c r="O289">
        <f>SUM(C289:H289)</f>
        <v/>
      </c>
      <c r="P289">
        <f>I289</f>
        <v/>
      </c>
      <c r="Q289">
        <f>J289</f>
        <v/>
      </c>
      <c r="R289">
        <f>SUM(K289:M289)</f>
        <v/>
      </c>
      <c r="S289">
        <f>SUM(O289:R289)</f>
        <v/>
      </c>
      <c r="T289" s="3">
        <f>IF(S289=0,"",O289/S289)</f>
        <v/>
      </c>
      <c r="U289" s="3">
        <f>IF(S289=0,"",P289/S289)</f>
        <v/>
      </c>
      <c r="V289" s="3">
        <f>IF(S289=0,"",Q289/S289)</f>
        <v/>
      </c>
      <c r="W289" s="3">
        <f>IF(S289=0,"",R289/S289)</f>
        <v/>
      </c>
      <c r="X289" s="4">
        <f>IF(S289=0,"",T289*Pesos!$B$2+U289*Pesos!$B$3+V289*Pesos!$B$4+W289*Pesos!$B$5)</f>
        <v/>
      </c>
    </row>
    <row r="290">
      <c r="A290" s="2" t="n">
        <v>289</v>
      </c>
      <c r="B290" t="n">
        <v>10</v>
      </c>
      <c r="C290" t="n">
        <v>965</v>
      </c>
      <c r="D290" t="n">
        <v>1055</v>
      </c>
      <c r="E290" t="n">
        <v>1165</v>
      </c>
      <c r="F290" t="n">
        <v>2000</v>
      </c>
      <c r="G290" t="n">
        <v>855</v>
      </c>
      <c r="H290" t="n">
        <v>595</v>
      </c>
      <c r="I290" t="n">
        <v>2440</v>
      </c>
      <c r="J290" t="n">
        <v>1420</v>
      </c>
      <c r="K290" t="n">
        <v>1435</v>
      </c>
      <c r="L290" t="n">
        <v>1160</v>
      </c>
      <c r="M290" t="n">
        <v>1255</v>
      </c>
      <c r="N290" s="6" t="n">
        <v>14345</v>
      </c>
      <c r="O290">
        <f>SUM(C290:H290)</f>
        <v/>
      </c>
      <c r="P290">
        <f>I290</f>
        <v/>
      </c>
      <c r="Q290">
        <f>J290</f>
        <v/>
      </c>
      <c r="R290">
        <f>SUM(K290:M290)</f>
        <v/>
      </c>
      <c r="S290">
        <f>SUM(O290:R290)</f>
        <v/>
      </c>
      <c r="T290" s="3">
        <f>IF(S290=0,"",O290/S290)</f>
        <v/>
      </c>
      <c r="U290" s="3">
        <f>IF(S290=0,"",P290/S290)</f>
        <v/>
      </c>
      <c r="V290" s="3">
        <f>IF(S290=0,"",Q290/S290)</f>
        <v/>
      </c>
      <c r="W290" s="3">
        <f>IF(S290=0,"",R290/S290)</f>
        <v/>
      </c>
      <c r="X290" s="4">
        <f>IF(S290=0,"",T290*Pesos!$B$2+U290*Pesos!$B$3+V290*Pesos!$B$4+W290*Pesos!$B$5)</f>
        <v/>
      </c>
    </row>
    <row r="291">
      <c r="A291" s="2" t="n">
        <v>290</v>
      </c>
      <c r="B291" t="n">
        <v>10</v>
      </c>
      <c r="C291" t="n">
        <v>620</v>
      </c>
      <c r="D291" t="n">
        <v>1125</v>
      </c>
      <c r="E291" t="n">
        <v>885</v>
      </c>
      <c r="F291" t="n">
        <v>630</v>
      </c>
      <c r="G291" t="n">
        <v>460</v>
      </c>
      <c r="H291" t="n">
        <v>830</v>
      </c>
      <c r="I291" t="n">
        <v>2065</v>
      </c>
      <c r="J291" t="n">
        <v>2835</v>
      </c>
      <c r="K291" t="n">
        <v>2015</v>
      </c>
      <c r="L291" t="n">
        <v>1945</v>
      </c>
      <c r="M291" t="n">
        <v>2400</v>
      </c>
      <c r="N291" s="6" t="n">
        <v>15805</v>
      </c>
      <c r="O291">
        <f>SUM(C291:H291)</f>
        <v/>
      </c>
      <c r="P291">
        <f>I291</f>
        <v/>
      </c>
      <c r="Q291">
        <f>J291</f>
        <v/>
      </c>
      <c r="R291">
        <f>SUM(K291:M291)</f>
        <v/>
      </c>
      <c r="S291">
        <f>SUM(O291:R291)</f>
        <v/>
      </c>
      <c r="T291" s="3">
        <f>IF(S291=0,"",O291/S291)</f>
        <v/>
      </c>
      <c r="U291" s="3">
        <f>IF(S291=0,"",P291/S291)</f>
        <v/>
      </c>
      <c r="V291" s="3">
        <f>IF(S291=0,"",Q291/S291)</f>
        <v/>
      </c>
      <c r="W291" s="3">
        <f>IF(S291=0,"",R291/S291)</f>
        <v/>
      </c>
      <c r="X291" s="4">
        <f>IF(S291=0,"",T291*Pesos!$B$2+U291*Pesos!$B$3+V291*Pesos!$B$4+W291*Pesos!$B$5)</f>
        <v/>
      </c>
    </row>
    <row r="292">
      <c r="A292" s="2" t="n">
        <v>291</v>
      </c>
      <c r="B292" t="n">
        <v>10</v>
      </c>
      <c r="C292" t="n">
        <v>1140</v>
      </c>
      <c r="D292" t="n">
        <v>2025</v>
      </c>
      <c r="E292" t="n">
        <v>775</v>
      </c>
      <c r="F292" t="n">
        <v>870</v>
      </c>
      <c r="G292" t="n">
        <v>720</v>
      </c>
      <c r="H292" t="n">
        <v>1125</v>
      </c>
      <c r="I292" t="n">
        <v>2610</v>
      </c>
      <c r="J292" t="n">
        <v>2290</v>
      </c>
      <c r="K292" t="n">
        <v>1510</v>
      </c>
      <c r="L292" t="n">
        <v>1440</v>
      </c>
      <c r="M292" t="n">
        <v>1705</v>
      </c>
      <c r="N292" s="6" t="n">
        <v>16210</v>
      </c>
      <c r="O292">
        <f>SUM(C292:H292)</f>
        <v/>
      </c>
      <c r="P292">
        <f>I292</f>
        <v/>
      </c>
      <c r="Q292">
        <f>J292</f>
        <v/>
      </c>
      <c r="R292">
        <f>SUM(K292:M292)</f>
        <v/>
      </c>
      <c r="S292">
        <f>SUM(O292:R292)</f>
        <v/>
      </c>
      <c r="T292" s="3">
        <f>IF(S292=0,"",O292/S292)</f>
        <v/>
      </c>
      <c r="U292" s="3">
        <f>IF(S292=0,"",P292/S292)</f>
        <v/>
      </c>
      <c r="V292" s="3">
        <f>IF(S292=0,"",Q292/S292)</f>
        <v/>
      </c>
      <c r="W292" s="3">
        <f>IF(S292=0,"",R292/S292)</f>
        <v/>
      </c>
      <c r="X292" s="4">
        <f>IF(S292=0,"",T292*Pesos!$B$2+U292*Pesos!$B$3+V292*Pesos!$B$4+W292*Pesos!$B$5)</f>
        <v/>
      </c>
    </row>
    <row r="293">
      <c r="A293" s="2" t="n">
        <v>292</v>
      </c>
      <c r="B293" t="n">
        <v>7</v>
      </c>
      <c r="C293" t="n">
        <v>1060</v>
      </c>
      <c r="D293" t="n">
        <v>550</v>
      </c>
      <c r="E293" t="n">
        <v>615</v>
      </c>
      <c r="F293" t="n">
        <v>340</v>
      </c>
      <c r="G293" t="n">
        <v>765</v>
      </c>
      <c r="H293" t="n">
        <v>565</v>
      </c>
      <c r="I293" t="n">
        <v>1560</v>
      </c>
      <c r="J293" t="n">
        <v>2460</v>
      </c>
      <c r="K293" t="n">
        <v>1110</v>
      </c>
      <c r="L293" t="n">
        <v>565</v>
      </c>
      <c r="M293" t="n">
        <v>1300</v>
      </c>
      <c r="N293" s="6" t="n">
        <v>10885</v>
      </c>
      <c r="O293">
        <f>SUM(C293:H293)</f>
        <v/>
      </c>
      <c r="P293">
        <f>I293</f>
        <v/>
      </c>
      <c r="Q293">
        <f>J293</f>
        <v/>
      </c>
      <c r="R293">
        <f>SUM(K293:M293)</f>
        <v/>
      </c>
      <c r="S293">
        <f>SUM(O293:R293)</f>
        <v/>
      </c>
      <c r="T293" s="3">
        <f>IF(S293=0,"",O293/S293)</f>
        <v/>
      </c>
      <c r="U293" s="3">
        <f>IF(S293=0,"",P293/S293)</f>
        <v/>
      </c>
      <c r="V293" s="3">
        <f>IF(S293=0,"",Q293/S293)</f>
        <v/>
      </c>
      <c r="W293" s="3">
        <f>IF(S293=0,"",R293/S293)</f>
        <v/>
      </c>
      <c r="X293" s="4">
        <f>IF(S293=0,"",T293*Pesos!$B$2+U293*Pesos!$B$3+V293*Pesos!$B$4+W293*Pesos!$B$5)</f>
        <v/>
      </c>
    </row>
    <row r="294">
      <c r="A294" s="2" t="n">
        <v>293</v>
      </c>
      <c r="B294" t="n">
        <v>7</v>
      </c>
      <c r="C294" s="7" t="n">
        <v>75</v>
      </c>
      <c r="D294" t="n">
        <v>115</v>
      </c>
      <c r="E294" t="n">
        <v>75</v>
      </c>
      <c r="F294" t="n">
        <v>105</v>
      </c>
      <c r="G294" t="n">
        <v>125</v>
      </c>
      <c r="H294" s="7" t="n">
        <v>35</v>
      </c>
      <c r="I294" t="n">
        <v>545</v>
      </c>
      <c r="J294" t="n">
        <v>850</v>
      </c>
      <c r="K294" t="n">
        <v>1955</v>
      </c>
      <c r="L294" t="n">
        <v>370</v>
      </c>
      <c r="M294" t="n">
        <v>230</v>
      </c>
      <c r="N294" s="6" t="n">
        <v>4480</v>
      </c>
      <c r="O294">
        <f>SUM(C294:H294)</f>
        <v/>
      </c>
      <c r="P294">
        <f>I294</f>
        <v/>
      </c>
      <c r="Q294">
        <f>J294</f>
        <v/>
      </c>
      <c r="R294">
        <f>SUM(K294:M294)</f>
        <v/>
      </c>
      <c r="S294">
        <f>SUM(O294:R294)</f>
        <v/>
      </c>
      <c r="T294" s="3">
        <f>IF(S294=0,"",O294/S294)</f>
        <v/>
      </c>
      <c r="U294" s="3">
        <f>IF(S294=0,"",P294/S294)</f>
        <v/>
      </c>
      <c r="V294" s="3">
        <f>IF(S294=0,"",Q294/S294)</f>
        <v/>
      </c>
      <c r="W294" s="3">
        <f>IF(S294=0,"",R294/S294)</f>
        <v/>
      </c>
      <c r="X294" s="4">
        <f>IF(S294=0,"",T294*Pesos!$B$2+U294*Pesos!$B$3+V294*Pesos!$B$4+W294*Pesos!$B$5)</f>
        <v/>
      </c>
    </row>
    <row r="295">
      <c r="A295" s="2" t="n">
        <v>294</v>
      </c>
      <c r="B295" t="n">
        <v>7</v>
      </c>
      <c r="C295" t="n">
        <v>440</v>
      </c>
      <c r="D295" t="n">
        <v>505</v>
      </c>
      <c r="E295" t="n">
        <v>345</v>
      </c>
      <c r="F295" t="n">
        <v>440</v>
      </c>
      <c r="G295" t="n">
        <v>600</v>
      </c>
      <c r="H295" t="n">
        <v>415</v>
      </c>
      <c r="I295" t="n">
        <v>1710</v>
      </c>
      <c r="J295" t="n">
        <v>2165</v>
      </c>
      <c r="K295" t="n">
        <v>1060</v>
      </c>
      <c r="L295" t="n">
        <v>1165</v>
      </c>
      <c r="M295" t="n">
        <v>885</v>
      </c>
      <c r="N295" s="6" t="n">
        <v>9745</v>
      </c>
      <c r="O295">
        <f>SUM(C295:H295)</f>
        <v/>
      </c>
      <c r="P295">
        <f>I295</f>
        <v/>
      </c>
      <c r="Q295">
        <f>J295</f>
        <v/>
      </c>
      <c r="R295">
        <f>SUM(K295:M295)</f>
        <v/>
      </c>
      <c r="S295">
        <f>SUM(O295:R295)</f>
        <v/>
      </c>
      <c r="T295" s="3">
        <f>IF(S295=0,"",O295/S295)</f>
        <v/>
      </c>
      <c r="U295" s="3">
        <f>IF(S295=0,"",P295/S295)</f>
        <v/>
      </c>
      <c r="V295" s="3">
        <f>IF(S295=0,"",Q295/S295)</f>
        <v/>
      </c>
      <c r="W295" s="3">
        <f>IF(S295=0,"",R295/S295)</f>
        <v/>
      </c>
      <c r="X295" s="4">
        <f>IF(S295=0,"",T295*Pesos!$B$2+U295*Pesos!$B$3+V295*Pesos!$B$4+W295*Pesos!$B$5)</f>
        <v/>
      </c>
    </row>
    <row r="296">
      <c r="A296" s="2" t="n">
        <v>295</v>
      </c>
      <c r="B296" t="n">
        <v>7</v>
      </c>
      <c r="C296" t="n">
        <v>250</v>
      </c>
      <c r="D296" t="n">
        <v>710</v>
      </c>
      <c r="E296" t="n">
        <v>1000</v>
      </c>
      <c r="F296" t="n">
        <v>765</v>
      </c>
      <c r="G296" t="n">
        <v>255</v>
      </c>
      <c r="H296" t="n">
        <v>585</v>
      </c>
      <c r="I296" t="n">
        <v>1240</v>
      </c>
      <c r="J296" t="n">
        <v>1255</v>
      </c>
      <c r="K296" t="n">
        <v>795</v>
      </c>
      <c r="L296" t="n">
        <v>680</v>
      </c>
      <c r="M296" t="n">
        <v>505</v>
      </c>
      <c r="N296" s="6" t="n">
        <v>8035</v>
      </c>
      <c r="O296">
        <f>SUM(C296:H296)</f>
        <v/>
      </c>
      <c r="P296">
        <f>I296</f>
        <v/>
      </c>
      <c r="Q296">
        <f>J296</f>
        <v/>
      </c>
      <c r="R296">
        <f>SUM(K296:M296)</f>
        <v/>
      </c>
      <c r="S296">
        <f>SUM(O296:R296)</f>
        <v/>
      </c>
      <c r="T296" s="3">
        <f>IF(S296=0,"",O296/S296)</f>
        <v/>
      </c>
      <c r="U296" s="3">
        <f>IF(S296=0,"",P296/S296)</f>
        <v/>
      </c>
      <c r="V296" s="3">
        <f>IF(S296=0,"",Q296/S296)</f>
        <v/>
      </c>
      <c r="W296" s="3">
        <f>IF(S296=0,"",R296/S296)</f>
        <v/>
      </c>
      <c r="X296" s="4">
        <f>IF(S296=0,"",T296*Pesos!$B$2+U296*Pesos!$B$3+V296*Pesos!$B$4+W296*Pesos!$B$5)</f>
        <v/>
      </c>
    </row>
    <row r="297">
      <c r="A297" s="2" t="n">
        <v>296</v>
      </c>
      <c r="B297" t="n">
        <v>8</v>
      </c>
      <c r="C297" t="n">
        <v>995</v>
      </c>
      <c r="D297" t="n">
        <v>1960</v>
      </c>
      <c r="E297" t="n">
        <v>1000</v>
      </c>
      <c r="F297" t="n">
        <v>550</v>
      </c>
      <c r="G297" t="n">
        <v>495</v>
      </c>
      <c r="H297" t="n">
        <v>1360</v>
      </c>
      <c r="I297" t="n">
        <v>1725</v>
      </c>
      <c r="J297" t="n">
        <v>1830</v>
      </c>
      <c r="K297" t="n">
        <v>735</v>
      </c>
      <c r="L297" t="n">
        <v>740</v>
      </c>
      <c r="M297" t="n">
        <v>1060</v>
      </c>
      <c r="N297" s="6" t="n">
        <v>12455</v>
      </c>
      <c r="O297">
        <f>SUM(C297:H297)</f>
        <v/>
      </c>
      <c r="P297">
        <f>I297</f>
        <v/>
      </c>
      <c r="Q297">
        <f>J297</f>
        <v/>
      </c>
      <c r="R297">
        <f>SUM(K297:M297)</f>
        <v/>
      </c>
      <c r="S297">
        <f>SUM(O297:R297)</f>
        <v/>
      </c>
      <c r="T297" s="3">
        <f>IF(S297=0,"",O297/S297)</f>
        <v/>
      </c>
      <c r="U297" s="3">
        <f>IF(S297=0,"",P297/S297)</f>
        <v/>
      </c>
      <c r="V297" s="3">
        <f>IF(S297=0,"",Q297/S297)</f>
        <v/>
      </c>
      <c r="W297" s="3">
        <f>IF(S297=0,"",R297/S297)</f>
        <v/>
      </c>
      <c r="X297" s="4">
        <f>IF(S297=0,"",T297*Pesos!$B$2+U297*Pesos!$B$3+V297*Pesos!$B$4+W297*Pesos!$B$5)</f>
        <v/>
      </c>
    </row>
    <row r="298">
      <c r="A298" s="2" t="n">
        <v>297</v>
      </c>
      <c r="B298" t="n">
        <v>7</v>
      </c>
      <c r="C298" t="n">
        <v>805</v>
      </c>
      <c r="D298" t="n">
        <v>580</v>
      </c>
      <c r="E298" t="n">
        <v>300</v>
      </c>
      <c r="F298" t="n">
        <v>270</v>
      </c>
      <c r="G298" s="7" t="n">
        <v>50</v>
      </c>
      <c r="H298" t="n">
        <v>305</v>
      </c>
      <c r="I298" t="n">
        <v>890</v>
      </c>
      <c r="J298" t="n">
        <v>1110</v>
      </c>
      <c r="K298" t="n">
        <v>465</v>
      </c>
      <c r="L298" t="n">
        <v>650</v>
      </c>
      <c r="M298" t="n">
        <v>915</v>
      </c>
      <c r="N298" s="6" t="n">
        <v>6335</v>
      </c>
      <c r="O298">
        <f>SUM(C298:H298)</f>
        <v/>
      </c>
      <c r="P298">
        <f>I298</f>
        <v/>
      </c>
      <c r="Q298">
        <f>J298</f>
        <v/>
      </c>
      <c r="R298">
        <f>SUM(K298:M298)</f>
        <v/>
      </c>
      <c r="S298">
        <f>SUM(O298:R298)</f>
        <v/>
      </c>
      <c r="T298" s="3">
        <f>IF(S298=0,"",O298/S298)</f>
        <v/>
      </c>
      <c r="U298" s="3">
        <f>IF(S298=0,"",P298/S298)</f>
        <v/>
      </c>
      <c r="V298" s="3">
        <f>IF(S298=0,"",Q298/S298)</f>
        <v/>
      </c>
      <c r="W298" s="3">
        <f>IF(S298=0,"",R298/S298)</f>
        <v/>
      </c>
      <c r="X298" s="4">
        <f>IF(S298=0,"",T298*Pesos!$B$2+U298*Pesos!$B$3+V298*Pesos!$B$4+W298*Pesos!$B$5)</f>
        <v/>
      </c>
    </row>
    <row r="299">
      <c r="A299" s="2" t="n">
        <v>298</v>
      </c>
      <c r="B299" t="n">
        <v>7</v>
      </c>
      <c r="C299" t="n">
        <v>270</v>
      </c>
      <c r="D299" t="n">
        <v>660</v>
      </c>
      <c r="E299" t="n">
        <v>495</v>
      </c>
      <c r="F299" t="n">
        <v>560</v>
      </c>
      <c r="G299" t="n">
        <v>480</v>
      </c>
      <c r="H299" t="n">
        <v>585</v>
      </c>
      <c r="I299" t="n">
        <v>2450</v>
      </c>
      <c r="J299" t="n">
        <v>7935</v>
      </c>
      <c r="K299" t="n">
        <v>985</v>
      </c>
      <c r="L299" t="n">
        <v>140</v>
      </c>
      <c r="M299" t="n">
        <v>155</v>
      </c>
      <c r="N299" s="6" t="n">
        <v>14710</v>
      </c>
      <c r="O299">
        <f>SUM(C299:H299)</f>
        <v/>
      </c>
      <c r="P299">
        <f>I299</f>
        <v/>
      </c>
      <c r="Q299">
        <f>J299</f>
        <v/>
      </c>
      <c r="R299">
        <f>SUM(K299:M299)</f>
        <v/>
      </c>
      <c r="S299">
        <f>SUM(O299:R299)</f>
        <v/>
      </c>
      <c r="T299" s="3">
        <f>IF(S299=0,"",O299/S299)</f>
        <v/>
      </c>
      <c r="U299" s="3">
        <f>IF(S299=0,"",P299/S299)</f>
        <v/>
      </c>
      <c r="V299" s="3">
        <f>IF(S299=0,"",Q299/S299)</f>
        <v/>
      </c>
      <c r="W299" s="3">
        <f>IF(S299=0,"",R299/S299)</f>
        <v/>
      </c>
      <c r="X299" s="4">
        <f>IF(S299=0,"",T299*Pesos!$B$2+U299*Pesos!$B$3+V299*Pesos!$B$4+W299*Pesos!$B$5)</f>
        <v/>
      </c>
    </row>
    <row r="300">
      <c r="A300" s="2" t="n">
        <v>299</v>
      </c>
      <c r="B300" t="n">
        <v>9</v>
      </c>
      <c r="C300" t="n">
        <v>1010</v>
      </c>
      <c r="D300" t="n">
        <v>1120</v>
      </c>
      <c r="E300" t="n">
        <v>550</v>
      </c>
      <c r="F300" t="n">
        <v>750</v>
      </c>
      <c r="G300" t="n">
        <v>660</v>
      </c>
      <c r="H300" t="n">
        <v>175</v>
      </c>
      <c r="I300" t="n">
        <v>1695</v>
      </c>
      <c r="J300" t="n">
        <v>1835</v>
      </c>
      <c r="K300" t="n">
        <v>1915</v>
      </c>
      <c r="L300" t="n">
        <v>1530</v>
      </c>
      <c r="M300" t="n">
        <v>1375</v>
      </c>
      <c r="N300" s="6" t="n">
        <v>12615</v>
      </c>
      <c r="O300">
        <f>SUM(C300:H300)</f>
        <v/>
      </c>
      <c r="P300">
        <f>I300</f>
        <v/>
      </c>
      <c r="Q300">
        <f>J300</f>
        <v/>
      </c>
      <c r="R300">
        <f>SUM(K300:M300)</f>
        <v/>
      </c>
      <c r="S300">
        <f>SUM(O300:R300)</f>
        <v/>
      </c>
      <c r="T300" s="3">
        <f>IF(S300=0,"",O300/S300)</f>
        <v/>
      </c>
      <c r="U300" s="3">
        <f>IF(S300=0,"",P300/S300)</f>
        <v/>
      </c>
      <c r="V300" s="3">
        <f>IF(S300=0,"",Q300/S300)</f>
        <v/>
      </c>
      <c r="W300" s="3">
        <f>IF(S300=0,"",R300/S300)</f>
        <v/>
      </c>
      <c r="X300" s="4">
        <f>IF(S300=0,"",T300*Pesos!$B$2+U300*Pesos!$B$3+V300*Pesos!$B$4+W300*Pesos!$B$5)</f>
        <v/>
      </c>
    </row>
    <row r="301">
      <c r="A301" s="2" t="n">
        <v>300</v>
      </c>
      <c r="B301" t="n">
        <v>13</v>
      </c>
      <c r="C301" t="n">
        <v>1165</v>
      </c>
      <c r="D301" t="n">
        <v>1000</v>
      </c>
      <c r="E301" t="n">
        <v>510</v>
      </c>
      <c r="F301" t="n">
        <v>380</v>
      </c>
      <c r="G301" t="n">
        <v>680</v>
      </c>
      <c r="H301" t="n">
        <v>345</v>
      </c>
      <c r="I301" t="n">
        <v>2040</v>
      </c>
      <c r="J301" t="n">
        <v>2840</v>
      </c>
      <c r="K301" t="n">
        <v>6550</v>
      </c>
      <c r="L301" t="n">
        <v>735</v>
      </c>
      <c r="M301" t="n">
        <v>770</v>
      </c>
      <c r="N301" s="6" t="n">
        <v>17015</v>
      </c>
      <c r="O301">
        <f>SUM(C301:H301)</f>
        <v/>
      </c>
      <c r="P301">
        <f>I301</f>
        <v/>
      </c>
      <c r="Q301">
        <f>J301</f>
        <v/>
      </c>
      <c r="R301">
        <f>SUM(K301:M301)</f>
        <v/>
      </c>
      <c r="S301">
        <f>SUM(O301:R301)</f>
        <v/>
      </c>
      <c r="T301" s="3">
        <f>IF(S301=0,"",O301/S301)</f>
        <v/>
      </c>
      <c r="U301" s="3">
        <f>IF(S301=0,"",P301/S301)</f>
        <v/>
      </c>
      <c r="V301" s="3">
        <f>IF(S301=0,"",Q301/S301)</f>
        <v/>
      </c>
      <c r="W301" s="3">
        <f>IF(S301=0,"",R301/S301)</f>
        <v/>
      </c>
      <c r="X301" s="4">
        <f>IF(S301=0,"",T301*Pesos!$B$2+U301*Pesos!$B$3+V301*Pesos!$B$4+W301*Pesos!$B$5)</f>
        <v/>
      </c>
    </row>
    <row r="302">
      <c r="A302" s="2" t="n">
        <v>301</v>
      </c>
      <c r="B302" t="n">
        <v>7</v>
      </c>
      <c r="C302" t="n">
        <v>705</v>
      </c>
      <c r="D302" t="n">
        <v>565</v>
      </c>
      <c r="E302" t="n">
        <v>300</v>
      </c>
      <c r="F302" t="n">
        <v>270</v>
      </c>
      <c r="G302" t="n">
        <v>215</v>
      </c>
      <c r="H302" t="n">
        <v>325</v>
      </c>
      <c r="I302" t="n">
        <v>865</v>
      </c>
      <c r="J302" t="n">
        <v>740</v>
      </c>
      <c r="K302" t="n">
        <v>2490</v>
      </c>
      <c r="L302" t="n">
        <v>505</v>
      </c>
      <c r="M302" t="n">
        <v>750</v>
      </c>
      <c r="N302" s="6" t="n">
        <v>7735</v>
      </c>
      <c r="O302">
        <f>SUM(C302:H302)</f>
        <v/>
      </c>
      <c r="P302">
        <f>I302</f>
        <v/>
      </c>
      <c r="Q302">
        <f>J302</f>
        <v/>
      </c>
      <c r="R302">
        <f>SUM(K302:M302)</f>
        <v/>
      </c>
      <c r="S302">
        <f>SUM(O302:R302)</f>
        <v/>
      </c>
      <c r="T302" s="3">
        <f>IF(S302=0,"",O302/S302)</f>
        <v/>
      </c>
      <c r="U302" s="3">
        <f>IF(S302=0,"",P302/S302)</f>
        <v/>
      </c>
      <c r="V302" s="3">
        <f>IF(S302=0,"",Q302/S302)</f>
        <v/>
      </c>
      <c r="W302" s="3">
        <f>IF(S302=0,"",R302/S302)</f>
        <v/>
      </c>
      <c r="X302" s="4">
        <f>IF(S302=0,"",T302*Pesos!$B$2+U302*Pesos!$B$3+V302*Pesos!$B$4+W302*Pesos!$B$5)</f>
        <v/>
      </c>
    </row>
    <row r="303">
      <c r="A303" s="2" t="n">
        <v>302</v>
      </c>
      <c r="B303" t="n">
        <v>7</v>
      </c>
      <c r="C303" t="n">
        <v>315</v>
      </c>
      <c r="D303" t="n">
        <v>600</v>
      </c>
      <c r="E303" t="n">
        <v>555</v>
      </c>
      <c r="F303" t="n">
        <v>425</v>
      </c>
      <c r="G303" t="n">
        <v>485</v>
      </c>
      <c r="H303" t="n">
        <v>340</v>
      </c>
      <c r="I303" t="n">
        <v>1360</v>
      </c>
      <c r="J303" t="n">
        <v>1270</v>
      </c>
      <c r="K303" t="n">
        <v>1105</v>
      </c>
      <c r="L303" t="n">
        <v>895</v>
      </c>
      <c r="M303" t="n">
        <v>965</v>
      </c>
      <c r="N303" s="6" t="n">
        <v>8315</v>
      </c>
      <c r="O303">
        <f>SUM(C303:H303)</f>
        <v/>
      </c>
      <c r="P303">
        <f>I303</f>
        <v/>
      </c>
      <c r="Q303">
        <f>J303</f>
        <v/>
      </c>
      <c r="R303">
        <f>SUM(K303:M303)</f>
        <v/>
      </c>
      <c r="S303">
        <f>SUM(O303:R303)</f>
        <v/>
      </c>
      <c r="T303" s="3">
        <f>IF(S303=0,"",O303/S303)</f>
        <v/>
      </c>
      <c r="U303" s="3">
        <f>IF(S303=0,"",P303/S303)</f>
        <v/>
      </c>
      <c r="V303" s="3">
        <f>IF(S303=0,"",Q303/S303)</f>
        <v/>
      </c>
      <c r="W303" s="3">
        <f>IF(S303=0,"",R303/S303)</f>
        <v/>
      </c>
      <c r="X303" s="4">
        <f>IF(S303=0,"",T303*Pesos!$B$2+U303*Pesos!$B$3+V303*Pesos!$B$4+W303*Pesos!$B$5)</f>
        <v/>
      </c>
    </row>
    <row r="304">
      <c r="A304" s="2" t="n">
        <v>303</v>
      </c>
      <c r="B304" t="n">
        <v>7</v>
      </c>
      <c r="C304" t="n">
        <v>100</v>
      </c>
      <c r="D304" t="n">
        <v>160</v>
      </c>
      <c r="E304" t="n">
        <v>105</v>
      </c>
      <c r="F304" t="n">
        <v>90</v>
      </c>
      <c r="G304" t="n">
        <v>245</v>
      </c>
      <c r="H304" t="n">
        <v>150</v>
      </c>
      <c r="I304" t="n">
        <v>420</v>
      </c>
      <c r="J304" t="n">
        <v>1020</v>
      </c>
      <c r="K304" t="n">
        <v>1660</v>
      </c>
      <c r="L304" t="n">
        <v>1565</v>
      </c>
      <c r="M304" t="n">
        <v>90</v>
      </c>
      <c r="N304" s="6" t="n">
        <v>5600</v>
      </c>
      <c r="O304">
        <f>SUM(C304:H304)</f>
        <v/>
      </c>
      <c r="P304">
        <f>I304</f>
        <v/>
      </c>
      <c r="Q304">
        <f>J304</f>
        <v/>
      </c>
      <c r="R304">
        <f>SUM(K304:M304)</f>
        <v/>
      </c>
      <c r="S304">
        <f>SUM(O304:R304)</f>
        <v/>
      </c>
      <c r="T304" s="3">
        <f>IF(S304=0,"",O304/S304)</f>
        <v/>
      </c>
      <c r="U304" s="3">
        <f>IF(S304=0,"",P304/S304)</f>
        <v/>
      </c>
      <c r="V304" s="3">
        <f>IF(S304=0,"",Q304/S304)</f>
        <v/>
      </c>
      <c r="W304" s="3">
        <f>IF(S304=0,"",R304/S304)</f>
        <v/>
      </c>
      <c r="X304" s="4">
        <f>IF(S304=0,"",T304*Pesos!$B$2+U304*Pesos!$B$3+V304*Pesos!$B$4+W304*Pesos!$B$5)</f>
        <v/>
      </c>
    </row>
    <row r="305">
      <c r="A305" s="2" t="n">
        <v>304</v>
      </c>
      <c r="B305" t="n">
        <v>7</v>
      </c>
      <c r="C305" t="n">
        <v>1865</v>
      </c>
      <c r="D305" t="n">
        <v>755</v>
      </c>
      <c r="E305" t="n">
        <v>850</v>
      </c>
      <c r="F305" t="n">
        <v>345</v>
      </c>
      <c r="G305" t="n">
        <v>770</v>
      </c>
      <c r="H305" t="n">
        <v>390</v>
      </c>
      <c r="I305" t="n">
        <v>2430</v>
      </c>
      <c r="J305" t="n">
        <v>1670</v>
      </c>
      <c r="K305" t="n">
        <v>835</v>
      </c>
      <c r="L305" t="n">
        <v>865</v>
      </c>
      <c r="M305" t="n">
        <v>1600</v>
      </c>
      <c r="N305" s="6" t="n">
        <v>12385</v>
      </c>
      <c r="O305">
        <f>SUM(C305:H305)</f>
        <v/>
      </c>
      <c r="P305">
        <f>I305</f>
        <v/>
      </c>
      <c r="Q305">
        <f>J305</f>
        <v/>
      </c>
      <c r="R305">
        <f>SUM(K305:M305)</f>
        <v/>
      </c>
      <c r="S305">
        <f>SUM(O305:R305)</f>
        <v/>
      </c>
      <c r="T305" s="3">
        <f>IF(S305=0,"",O305/S305)</f>
        <v/>
      </c>
      <c r="U305" s="3">
        <f>IF(S305=0,"",P305/S305)</f>
        <v/>
      </c>
      <c r="V305" s="3">
        <f>IF(S305=0,"",Q305/S305)</f>
        <v/>
      </c>
      <c r="W305" s="3">
        <f>IF(S305=0,"",R305/S305)</f>
        <v/>
      </c>
      <c r="X305" s="4">
        <f>IF(S305=0,"",T305*Pesos!$B$2+U305*Pesos!$B$3+V305*Pesos!$B$4+W305*Pesos!$B$5)</f>
        <v/>
      </c>
    </row>
    <row r="306">
      <c r="A306" s="2" t="n">
        <v>305</v>
      </c>
      <c r="B306" t="n">
        <v>8</v>
      </c>
      <c r="C306" t="n">
        <v>850</v>
      </c>
      <c r="D306" t="n">
        <v>900</v>
      </c>
      <c r="E306" t="n">
        <v>1020</v>
      </c>
      <c r="F306" t="n">
        <v>510</v>
      </c>
      <c r="G306" t="n">
        <v>1085</v>
      </c>
      <c r="H306" t="n">
        <v>710</v>
      </c>
      <c r="I306" t="n">
        <v>2290</v>
      </c>
      <c r="J306" t="n">
        <v>1155</v>
      </c>
      <c r="K306" t="n">
        <v>1105</v>
      </c>
      <c r="L306" t="n">
        <v>695</v>
      </c>
      <c r="M306" t="n">
        <v>1030</v>
      </c>
      <c r="N306" s="6" t="n">
        <v>11350</v>
      </c>
      <c r="O306">
        <f>SUM(C306:H306)</f>
        <v/>
      </c>
      <c r="P306">
        <f>I306</f>
        <v/>
      </c>
      <c r="Q306">
        <f>J306</f>
        <v/>
      </c>
      <c r="R306">
        <f>SUM(K306:M306)</f>
        <v/>
      </c>
      <c r="S306">
        <f>SUM(O306:R306)</f>
        <v/>
      </c>
      <c r="T306" s="3">
        <f>IF(S306=0,"",O306/S306)</f>
        <v/>
      </c>
      <c r="U306" s="3">
        <f>IF(S306=0,"",P306/S306)</f>
        <v/>
      </c>
      <c r="V306" s="3">
        <f>IF(S306=0,"",Q306/S306)</f>
        <v/>
      </c>
      <c r="W306" s="3">
        <f>IF(S306=0,"",R306/S306)</f>
        <v/>
      </c>
      <c r="X306" s="4">
        <f>IF(S306=0,"",T306*Pesos!$B$2+U306*Pesos!$B$3+V306*Pesos!$B$4+W306*Pesos!$B$5)</f>
        <v/>
      </c>
    </row>
    <row r="307">
      <c r="A307" s="2" t="n">
        <v>306</v>
      </c>
      <c r="B307" t="n">
        <v>7</v>
      </c>
      <c r="C307" t="n">
        <v>555</v>
      </c>
      <c r="D307" t="n">
        <v>505</v>
      </c>
      <c r="E307" t="n">
        <v>550</v>
      </c>
      <c r="F307" t="n">
        <v>485</v>
      </c>
      <c r="G307" t="n">
        <v>155</v>
      </c>
      <c r="H307" t="n">
        <v>440</v>
      </c>
      <c r="I307" t="n">
        <v>1540</v>
      </c>
      <c r="J307" t="n">
        <v>2285</v>
      </c>
      <c r="K307" t="n">
        <v>3935</v>
      </c>
      <c r="L307" t="n">
        <v>565</v>
      </c>
      <c r="M307" t="n">
        <v>325</v>
      </c>
      <c r="N307" s="6" t="n">
        <v>11345</v>
      </c>
      <c r="O307">
        <f>SUM(C307:H307)</f>
        <v/>
      </c>
      <c r="P307">
        <f>I307</f>
        <v/>
      </c>
      <c r="Q307">
        <f>J307</f>
        <v/>
      </c>
      <c r="R307">
        <f>SUM(K307:M307)</f>
        <v/>
      </c>
      <c r="S307">
        <f>SUM(O307:R307)</f>
        <v/>
      </c>
      <c r="T307" s="3">
        <f>IF(S307=0,"",O307/S307)</f>
        <v/>
      </c>
      <c r="U307" s="3">
        <f>IF(S307=0,"",P307/S307)</f>
        <v/>
      </c>
      <c r="V307" s="3">
        <f>IF(S307=0,"",Q307/S307)</f>
        <v/>
      </c>
      <c r="W307" s="3">
        <f>IF(S307=0,"",R307/S307)</f>
        <v/>
      </c>
      <c r="X307" s="4">
        <f>IF(S307=0,"",T307*Pesos!$B$2+U307*Pesos!$B$3+V307*Pesos!$B$4+W307*Pesos!$B$5)</f>
        <v/>
      </c>
    </row>
    <row r="308">
      <c r="A308" s="2" t="n">
        <v>307</v>
      </c>
      <c r="B308" t="n">
        <v>7</v>
      </c>
      <c r="C308" t="n">
        <v>730</v>
      </c>
      <c r="D308" t="n">
        <v>950</v>
      </c>
      <c r="E308" t="n">
        <v>480</v>
      </c>
      <c r="F308" t="n">
        <v>530</v>
      </c>
      <c r="G308" t="n">
        <v>505</v>
      </c>
      <c r="H308" t="n">
        <v>600</v>
      </c>
      <c r="I308" t="n">
        <v>1595</v>
      </c>
      <c r="J308" t="n">
        <v>1645</v>
      </c>
      <c r="K308" t="n">
        <v>980</v>
      </c>
      <c r="L308" t="n">
        <v>855</v>
      </c>
      <c r="M308" t="n">
        <v>1110</v>
      </c>
      <c r="N308" s="6" t="n">
        <v>9980</v>
      </c>
      <c r="O308">
        <f>SUM(C308:H308)</f>
        <v/>
      </c>
      <c r="P308">
        <f>I308</f>
        <v/>
      </c>
      <c r="Q308">
        <f>J308</f>
        <v/>
      </c>
      <c r="R308">
        <f>SUM(K308:M308)</f>
        <v/>
      </c>
      <c r="S308">
        <f>SUM(O308:R308)</f>
        <v/>
      </c>
      <c r="T308" s="3">
        <f>IF(S308=0,"",O308/S308)</f>
        <v/>
      </c>
      <c r="U308" s="3">
        <f>IF(S308=0,"",P308/S308)</f>
        <v/>
      </c>
      <c r="V308" s="3">
        <f>IF(S308=0,"",Q308/S308)</f>
        <v/>
      </c>
      <c r="W308" s="3">
        <f>IF(S308=0,"",R308/S308)</f>
        <v/>
      </c>
      <c r="X308" s="4">
        <f>IF(S308=0,"",T308*Pesos!$B$2+U308*Pesos!$B$3+V308*Pesos!$B$4+W308*Pesos!$B$5)</f>
        <v/>
      </c>
    </row>
    <row r="309">
      <c r="A309" s="2" t="n">
        <v>308</v>
      </c>
      <c r="B309" t="n">
        <v>7</v>
      </c>
      <c r="C309" t="n">
        <v>255</v>
      </c>
      <c r="D309" t="n">
        <v>455</v>
      </c>
      <c r="E309" t="n">
        <v>410</v>
      </c>
      <c r="F309" t="n">
        <v>770</v>
      </c>
      <c r="G309" t="n">
        <v>105</v>
      </c>
      <c r="H309" t="n">
        <v>330</v>
      </c>
      <c r="I309" t="n">
        <v>1655</v>
      </c>
      <c r="J309" t="n">
        <v>8010</v>
      </c>
      <c r="K309" t="n">
        <v>1220</v>
      </c>
      <c r="L309" t="n">
        <v>250</v>
      </c>
      <c r="M309" t="n">
        <v>285</v>
      </c>
      <c r="N309" s="6" t="n">
        <v>13740</v>
      </c>
      <c r="O309">
        <f>SUM(C309:H309)</f>
        <v/>
      </c>
      <c r="P309">
        <f>I309</f>
        <v/>
      </c>
      <c r="Q309">
        <f>J309</f>
        <v/>
      </c>
      <c r="R309">
        <f>SUM(K309:M309)</f>
        <v/>
      </c>
      <c r="S309">
        <f>SUM(O309:R309)</f>
        <v/>
      </c>
      <c r="T309" s="3">
        <f>IF(S309=0,"",O309/S309)</f>
        <v/>
      </c>
      <c r="U309" s="3">
        <f>IF(S309=0,"",P309/S309)</f>
        <v/>
      </c>
      <c r="V309" s="3">
        <f>IF(S309=0,"",Q309/S309)</f>
        <v/>
      </c>
      <c r="W309" s="3">
        <f>IF(S309=0,"",R309/S309)</f>
        <v/>
      </c>
      <c r="X309" s="4">
        <f>IF(S309=0,"",T309*Pesos!$B$2+U309*Pesos!$B$3+V309*Pesos!$B$4+W309*Pesos!$B$5)</f>
        <v/>
      </c>
    </row>
    <row r="310">
      <c r="A310" s="2" t="n">
        <v>309</v>
      </c>
      <c r="B310" t="n">
        <v>8</v>
      </c>
      <c r="C310" t="n">
        <v>545</v>
      </c>
      <c r="D310" t="n">
        <v>660</v>
      </c>
      <c r="E310" t="n">
        <v>1055</v>
      </c>
      <c r="F310" t="n">
        <v>870</v>
      </c>
      <c r="G310" t="n">
        <v>605</v>
      </c>
      <c r="H310" t="n">
        <v>850</v>
      </c>
      <c r="I310" t="n">
        <v>1440</v>
      </c>
      <c r="J310" t="n">
        <v>1415</v>
      </c>
      <c r="K310" t="n">
        <v>845</v>
      </c>
      <c r="L310" t="n">
        <v>1565</v>
      </c>
      <c r="M310" t="n">
        <v>1030</v>
      </c>
      <c r="N310" s="6" t="n">
        <v>10870</v>
      </c>
      <c r="O310">
        <f>SUM(C310:H310)</f>
        <v/>
      </c>
      <c r="P310">
        <f>I310</f>
        <v/>
      </c>
      <c r="Q310">
        <f>J310</f>
        <v/>
      </c>
      <c r="R310">
        <f>SUM(K310:M310)</f>
        <v/>
      </c>
      <c r="S310">
        <f>SUM(O310:R310)</f>
        <v/>
      </c>
      <c r="T310" s="3">
        <f>IF(S310=0,"",O310/S310)</f>
        <v/>
      </c>
      <c r="U310" s="3">
        <f>IF(S310=0,"",P310/S310)</f>
        <v/>
      </c>
      <c r="V310" s="3">
        <f>IF(S310=0,"",Q310/S310)</f>
        <v/>
      </c>
      <c r="W310" s="3">
        <f>IF(S310=0,"",R310/S310)</f>
        <v/>
      </c>
      <c r="X310" s="4">
        <f>IF(S310=0,"",T310*Pesos!$B$2+U310*Pesos!$B$3+V310*Pesos!$B$4+W310*Pesos!$B$5)</f>
        <v/>
      </c>
    </row>
    <row r="311">
      <c r="A311" s="2" t="n">
        <v>310</v>
      </c>
      <c r="B311" t="n">
        <v>7</v>
      </c>
      <c r="C311" t="n">
        <v>230</v>
      </c>
      <c r="D311" t="n">
        <v>290</v>
      </c>
      <c r="E311" t="n">
        <v>235</v>
      </c>
      <c r="F311" t="n">
        <v>150</v>
      </c>
      <c r="G311" t="n">
        <v>130</v>
      </c>
      <c r="H311" t="n">
        <v>140</v>
      </c>
      <c r="I311" t="n">
        <v>875</v>
      </c>
      <c r="J311" t="n">
        <v>1230</v>
      </c>
      <c r="K311" t="n">
        <v>1695</v>
      </c>
      <c r="L311" t="n">
        <v>2045</v>
      </c>
      <c r="M311" t="n">
        <v>170</v>
      </c>
      <c r="N311" s="6" t="n">
        <v>7190</v>
      </c>
      <c r="O311">
        <f>SUM(C311:H311)</f>
        <v/>
      </c>
      <c r="P311">
        <f>I311</f>
        <v/>
      </c>
      <c r="Q311">
        <f>J311</f>
        <v/>
      </c>
      <c r="R311">
        <f>SUM(K311:M311)</f>
        <v/>
      </c>
      <c r="S311">
        <f>SUM(O311:R311)</f>
        <v/>
      </c>
      <c r="T311" s="3">
        <f>IF(S311=0,"",O311/S311)</f>
        <v/>
      </c>
      <c r="U311" s="3">
        <f>IF(S311=0,"",P311/S311)</f>
        <v/>
      </c>
      <c r="V311" s="3">
        <f>IF(S311=0,"",Q311/S311)</f>
        <v/>
      </c>
      <c r="W311" s="3">
        <f>IF(S311=0,"",R311/S311)</f>
        <v/>
      </c>
      <c r="X311" s="4">
        <f>IF(S311=0,"",T311*Pesos!$B$2+U311*Pesos!$B$3+V311*Pesos!$B$4+W311*Pesos!$B$5)</f>
        <v/>
      </c>
    </row>
    <row r="312">
      <c r="A312" s="2" t="n">
        <v>311</v>
      </c>
      <c r="B312" t="n">
        <v>7</v>
      </c>
      <c r="C312" t="n">
        <v>135</v>
      </c>
      <c r="D312" t="n">
        <v>590</v>
      </c>
      <c r="E312" t="n">
        <v>360</v>
      </c>
      <c r="F312" t="n">
        <v>135</v>
      </c>
      <c r="G312" t="n">
        <v>145</v>
      </c>
      <c r="H312" t="n">
        <v>255</v>
      </c>
      <c r="I312" t="n">
        <v>1325</v>
      </c>
      <c r="J312" t="n">
        <v>3375</v>
      </c>
      <c r="K312" t="n">
        <v>1630</v>
      </c>
      <c r="L312" t="n">
        <v>770</v>
      </c>
      <c r="M312" t="n">
        <v>315</v>
      </c>
      <c r="N312" s="6" t="n">
        <v>9030</v>
      </c>
      <c r="O312">
        <f>SUM(C312:H312)</f>
        <v/>
      </c>
      <c r="P312">
        <f>I312</f>
        <v/>
      </c>
      <c r="Q312">
        <f>J312</f>
        <v/>
      </c>
      <c r="R312">
        <f>SUM(K312:M312)</f>
        <v/>
      </c>
      <c r="S312">
        <f>SUM(O312:R312)</f>
        <v/>
      </c>
      <c r="T312" s="3">
        <f>IF(S312=0,"",O312/S312)</f>
        <v/>
      </c>
      <c r="U312" s="3">
        <f>IF(S312=0,"",P312/S312)</f>
        <v/>
      </c>
      <c r="V312" s="3">
        <f>IF(S312=0,"",Q312/S312)</f>
        <v/>
      </c>
      <c r="W312" s="3">
        <f>IF(S312=0,"",R312/S312)</f>
        <v/>
      </c>
      <c r="X312" s="4">
        <f>IF(S312=0,"",T312*Pesos!$B$2+U312*Pesos!$B$3+V312*Pesos!$B$4+W312*Pesos!$B$5)</f>
        <v/>
      </c>
    </row>
    <row r="313">
      <c r="A313" s="2" t="n">
        <v>312</v>
      </c>
      <c r="B313" t="n">
        <v>8</v>
      </c>
      <c r="C313" t="n">
        <v>375</v>
      </c>
      <c r="D313" t="n">
        <v>150</v>
      </c>
      <c r="E313" t="n">
        <v>475</v>
      </c>
      <c r="F313" t="n">
        <v>150</v>
      </c>
      <c r="G313" t="n">
        <v>175</v>
      </c>
      <c r="H313" s="7" t="n">
        <v>55</v>
      </c>
      <c r="I313" t="n">
        <v>650</v>
      </c>
      <c r="J313" t="n">
        <v>1270</v>
      </c>
      <c r="K313" t="n">
        <v>1250</v>
      </c>
      <c r="L313" t="n">
        <v>1360</v>
      </c>
      <c r="M313" t="n">
        <v>1380</v>
      </c>
      <c r="N313" s="6" t="n">
        <v>7290</v>
      </c>
      <c r="O313">
        <f>SUM(C313:H313)</f>
        <v/>
      </c>
      <c r="P313">
        <f>I313</f>
        <v/>
      </c>
      <c r="Q313">
        <f>J313</f>
        <v/>
      </c>
      <c r="R313">
        <f>SUM(K313:M313)</f>
        <v/>
      </c>
      <c r="S313">
        <f>SUM(O313:R313)</f>
        <v/>
      </c>
      <c r="T313" s="3">
        <f>IF(S313=0,"",O313/S313)</f>
        <v/>
      </c>
      <c r="U313" s="3">
        <f>IF(S313=0,"",P313/S313)</f>
        <v/>
      </c>
      <c r="V313" s="3">
        <f>IF(S313=0,"",Q313/S313)</f>
        <v/>
      </c>
      <c r="W313" s="3">
        <f>IF(S313=0,"",R313/S313)</f>
        <v/>
      </c>
      <c r="X313" s="4">
        <f>IF(S313=0,"",T313*Pesos!$B$2+U313*Pesos!$B$3+V313*Pesos!$B$4+W313*Pesos!$B$5)</f>
        <v/>
      </c>
    </row>
    <row r="314">
      <c r="A314" s="2" t="n">
        <v>313</v>
      </c>
      <c r="B314" t="n">
        <v>8</v>
      </c>
      <c r="C314" t="n">
        <v>855</v>
      </c>
      <c r="D314" t="n">
        <v>610</v>
      </c>
      <c r="E314" t="n">
        <v>560</v>
      </c>
      <c r="F314" t="n">
        <v>335</v>
      </c>
      <c r="G314" t="n">
        <v>265</v>
      </c>
      <c r="H314" t="n">
        <v>370</v>
      </c>
      <c r="I314" t="n">
        <v>940</v>
      </c>
      <c r="J314" t="n">
        <v>1135</v>
      </c>
      <c r="K314" t="n">
        <v>1295</v>
      </c>
      <c r="L314" t="n">
        <v>1690</v>
      </c>
      <c r="M314" t="n">
        <v>1080</v>
      </c>
      <c r="N314" s="6" t="n">
        <v>9135</v>
      </c>
      <c r="O314">
        <f>SUM(C314:H314)</f>
        <v/>
      </c>
      <c r="P314">
        <f>I314</f>
        <v/>
      </c>
      <c r="Q314">
        <f>J314</f>
        <v/>
      </c>
      <c r="R314">
        <f>SUM(K314:M314)</f>
        <v/>
      </c>
      <c r="S314">
        <f>SUM(O314:R314)</f>
        <v/>
      </c>
      <c r="T314" s="3">
        <f>IF(S314=0,"",O314/S314)</f>
        <v/>
      </c>
      <c r="U314" s="3">
        <f>IF(S314=0,"",P314/S314)</f>
        <v/>
      </c>
      <c r="V314" s="3">
        <f>IF(S314=0,"",Q314/S314)</f>
        <v/>
      </c>
      <c r="W314" s="3">
        <f>IF(S314=0,"",R314/S314)</f>
        <v/>
      </c>
      <c r="X314" s="4">
        <f>IF(S314=0,"",T314*Pesos!$B$2+U314*Pesos!$B$3+V314*Pesos!$B$4+W314*Pesos!$B$5)</f>
        <v/>
      </c>
    </row>
    <row r="315">
      <c r="A315" s="2" t="n">
        <v>314</v>
      </c>
      <c r="B315" t="n">
        <v>7</v>
      </c>
      <c r="C315" t="n">
        <v>70</v>
      </c>
      <c r="D315" t="n">
        <v>280</v>
      </c>
      <c r="E315" t="n">
        <v>290</v>
      </c>
      <c r="F315" t="n">
        <v>215</v>
      </c>
      <c r="G315" t="n">
        <v>275</v>
      </c>
      <c r="H315" t="n">
        <v>345</v>
      </c>
      <c r="I315" t="n">
        <v>765</v>
      </c>
      <c r="J315" t="n">
        <v>3145</v>
      </c>
      <c r="K315" t="n">
        <v>2755</v>
      </c>
      <c r="L315" t="n">
        <v>555</v>
      </c>
      <c r="M315" t="n">
        <v>195</v>
      </c>
      <c r="N315" s="6" t="n">
        <v>8890</v>
      </c>
      <c r="O315">
        <f>SUM(C315:H315)</f>
        <v/>
      </c>
      <c r="P315">
        <f>I315</f>
        <v/>
      </c>
      <c r="Q315">
        <f>J315</f>
        <v/>
      </c>
      <c r="R315">
        <f>SUM(K315:M315)</f>
        <v/>
      </c>
      <c r="S315">
        <f>SUM(O315:R315)</f>
        <v/>
      </c>
      <c r="T315" s="3">
        <f>IF(S315=0,"",O315/S315)</f>
        <v/>
      </c>
      <c r="U315" s="3">
        <f>IF(S315=0,"",P315/S315)</f>
        <v/>
      </c>
      <c r="V315" s="3">
        <f>IF(S315=0,"",Q315/S315)</f>
        <v/>
      </c>
      <c r="W315" s="3">
        <f>IF(S315=0,"",R315/S315)</f>
        <v/>
      </c>
      <c r="X315" s="4">
        <f>IF(S315=0,"",T315*Pesos!$B$2+U315*Pesos!$B$3+V315*Pesos!$B$4+W315*Pesos!$B$5)</f>
        <v/>
      </c>
    </row>
    <row r="316">
      <c r="A316" s="2" t="n">
        <v>315</v>
      </c>
      <c r="B316" t="n">
        <v>10</v>
      </c>
      <c r="C316" t="n">
        <v>465</v>
      </c>
      <c r="D316" t="n">
        <v>430</v>
      </c>
      <c r="E316" t="n">
        <v>255</v>
      </c>
      <c r="F316" t="n">
        <v>355</v>
      </c>
      <c r="G316" t="n">
        <v>255</v>
      </c>
      <c r="H316" t="n">
        <v>210</v>
      </c>
      <c r="I316" t="n">
        <v>1325</v>
      </c>
      <c r="J316" t="n">
        <v>1630</v>
      </c>
      <c r="K316" t="n">
        <v>1065</v>
      </c>
      <c r="L316" t="n">
        <v>1380</v>
      </c>
      <c r="M316" t="n">
        <v>2105</v>
      </c>
      <c r="N316" s="6" t="n">
        <v>9475</v>
      </c>
      <c r="O316">
        <f>SUM(C316:H316)</f>
        <v/>
      </c>
      <c r="P316">
        <f>I316</f>
        <v/>
      </c>
      <c r="Q316">
        <f>J316</f>
        <v/>
      </c>
      <c r="R316">
        <f>SUM(K316:M316)</f>
        <v/>
      </c>
      <c r="S316">
        <f>SUM(O316:R316)</f>
        <v/>
      </c>
      <c r="T316" s="3">
        <f>IF(S316=0,"",O316/S316)</f>
        <v/>
      </c>
      <c r="U316" s="3">
        <f>IF(S316=0,"",P316/S316)</f>
        <v/>
      </c>
      <c r="V316" s="3">
        <f>IF(S316=0,"",Q316/S316)</f>
        <v/>
      </c>
      <c r="W316" s="3">
        <f>IF(S316=0,"",R316/S316)</f>
        <v/>
      </c>
      <c r="X316" s="4">
        <f>IF(S316=0,"",T316*Pesos!$B$2+U316*Pesos!$B$3+V316*Pesos!$B$4+W316*Pesos!$B$5)</f>
        <v/>
      </c>
    </row>
    <row r="317">
      <c r="A317" s="2" t="n">
        <v>316</v>
      </c>
      <c r="B317" t="n">
        <v>7</v>
      </c>
      <c r="C317" t="n">
        <v>175</v>
      </c>
      <c r="D317" t="n">
        <v>575</v>
      </c>
      <c r="E317" t="n">
        <v>340</v>
      </c>
      <c r="F317" t="n">
        <v>165</v>
      </c>
      <c r="G317" t="n">
        <v>165</v>
      </c>
      <c r="H317" t="n">
        <v>200</v>
      </c>
      <c r="I317" t="n">
        <v>900</v>
      </c>
      <c r="J317" t="n">
        <v>1175</v>
      </c>
      <c r="K317" t="n">
        <v>770</v>
      </c>
      <c r="L317" t="n">
        <v>920</v>
      </c>
      <c r="M317" t="n">
        <v>1420</v>
      </c>
      <c r="N317" s="6" t="n">
        <v>6795</v>
      </c>
      <c r="O317">
        <f>SUM(C317:H317)</f>
        <v/>
      </c>
      <c r="P317">
        <f>I317</f>
        <v/>
      </c>
      <c r="Q317">
        <f>J317</f>
        <v/>
      </c>
      <c r="R317">
        <f>SUM(K317:M317)</f>
        <v/>
      </c>
      <c r="S317">
        <f>SUM(O317:R317)</f>
        <v/>
      </c>
      <c r="T317" s="3">
        <f>IF(S317=0,"",O317/S317)</f>
        <v/>
      </c>
      <c r="U317" s="3">
        <f>IF(S317=0,"",P317/S317)</f>
        <v/>
      </c>
      <c r="V317" s="3">
        <f>IF(S317=0,"",Q317/S317)</f>
        <v/>
      </c>
      <c r="W317" s="3">
        <f>IF(S317=0,"",R317/S317)</f>
        <v/>
      </c>
      <c r="X317" s="4">
        <f>IF(S317=0,"",T317*Pesos!$B$2+U317*Pesos!$B$3+V317*Pesos!$B$4+W317*Pesos!$B$5)</f>
        <v/>
      </c>
    </row>
    <row r="318">
      <c r="A318" s="2" t="n">
        <v>317</v>
      </c>
      <c r="B318" t="n">
        <v>7</v>
      </c>
      <c r="C318" t="n">
        <v>515</v>
      </c>
      <c r="D318" t="n">
        <v>370</v>
      </c>
      <c r="E318" t="n">
        <v>305</v>
      </c>
      <c r="F318" t="n">
        <v>290</v>
      </c>
      <c r="G318" t="n">
        <v>225</v>
      </c>
      <c r="H318" t="n">
        <v>200</v>
      </c>
      <c r="I318" t="n">
        <v>1080</v>
      </c>
      <c r="J318" t="n">
        <v>1045</v>
      </c>
      <c r="K318" t="n">
        <v>1035</v>
      </c>
      <c r="L318" t="n">
        <v>2195</v>
      </c>
      <c r="M318" t="n">
        <v>865</v>
      </c>
      <c r="N318" s="6" t="n">
        <v>8120</v>
      </c>
      <c r="O318">
        <f>SUM(C318:H318)</f>
        <v/>
      </c>
      <c r="P318">
        <f>I318</f>
        <v/>
      </c>
      <c r="Q318">
        <f>J318</f>
        <v/>
      </c>
      <c r="R318">
        <f>SUM(K318:M318)</f>
        <v/>
      </c>
      <c r="S318">
        <f>SUM(O318:R318)</f>
        <v/>
      </c>
      <c r="T318" s="3">
        <f>IF(S318=0,"",O318/S318)</f>
        <v/>
      </c>
      <c r="U318" s="3">
        <f>IF(S318=0,"",P318/S318)</f>
        <v/>
      </c>
      <c r="V318" s="3">
        <f>IF(S318=0,"",Q318/S318)</f>
        <v/>
      </c>
      <c r="W318" s="3">
        <f>IF(S318=0,"",R318/S318)</f>
        <v/>
      </c>
      <c r="X318" s="4">
        <f>IF(S318=0,"",T318*Pesos!$B$2+U318*Pesos!$B$3+V318*Pesos!$B$4+W318*Pesos!$B$5)</f>
        <v/>
      </c>
    </row>
    <row r="319">
      <c r="A319" s="2" t="n">
        <v>318</v>
      </c>
      <c r="B319" t="n">
        <v>7</v>
      </c>
      <c r="C319" t="n">
        <v>510</v>
      </c>
      <c r="D319" t="n">
        <v>340</v>
      </c>
      <c r="E319" t="n">
        <v>535</v>
      </c>
      <c r="F319" t="n">
        <v>760</v>
      </c>
      <c r="G319" t="n">
        <v>275</v>
      </c>
      <c r="H319" t="n">
        <v>210</v>
      </c>
      <c r="I319" t="n">
        <v>920</v>
      </c>
      <c r="J319" t="n">
        <v>1090</v>
      </c>
      <c r="K319" t="n">
        <v>595</v>
      </c>
      <c r="L319" t="n">
        <v>1755</v>
      </c>
      <c r="M319" t="n">
        <v>760</v>
      </c>
      <c r="N319" s="6" t="n">
        <v>7755</v>
      </c>
      <c r="O319">
        <f>SUM(C319:H319)</f>
        <v/>
      </c>
      <c r="P319">
        <f>I319</f>
        <v/>
      </c>
      <c r="Q319">
        <f>J319</f>
        <v/>
      </c>
      <c r="R319">
        <f>SUM(K319:M319)</f>
        <v/>
      </c>
      <c r="S319">
        <f>SUM(O319:R319)</f>
        <v/>
      </c>
      <c r="T319" s="3">
        <f>IF(S319=0,"",O319/S319)</f>
        <v/>
      </c>
      <c r="U319" s="3">
        <f>IF(S319=0,"",P319/S319)</f>
        <v/>
      </c>
      <c r="V319" s="3">
        <f>IF(S319=0,"",Q319/S319)</f>
        <v/>
      </c>
      <c r="W319" s="3">
        <f>IF(S319=0,"",R319/S319)</f>
        <v/>
      </c>
      <c r="X319" s="4">
        <f>IF(S319=0,"",T319*Pesos!$B$2+U319*Pesos!$B$3+V319*Pesos!$B$4+W319*Pesos!$B$5)</f>
        <v/>
      </c>
    </row>
    <row r="320">
      <c r="A320" s="2" t="n">
        <v>319</v>
      </c>
      <c r="B320" t="n">
        <v>7</v>
      </c>
      <c r="C320" t="n">
        <v>265</v>
      </c>
      <c r="D320" t="n">
        <v>390</v>
      </c>
      <c r="E320" t="n">
        <v>205</v>
      </c>
      <c r="F320" t="n">
        <v>185</v>
      </c>
      <c r="G320" t="n">
        <v>90</v>
      </c>
      <c r="H320" t="n">
        <v>175</v>
      </c>
      <c r="I320" t="n">
        <v>815</v>
      </c>
      <c r="J320" t="n">
        <v>745</v>
      </c>
      <c r="K320" t="n">
        <v>465</v>
      </c>
      <c r="L320" t="n">
        <v>810</v>
      </c>
      <c r="M320" t="n">
        <v>1285</v>
      </c>
      <c r="N320" s="6" t="n">
        <v>5430</v>
      </c>
      <c r="O320">
        <f>SUM(C320:H320)</f>
        <v/>
      </c>
      <c r="P320">
        <f>I320</f>
        <v/>
      </c>
      <c r="Q320">
        <f>J320</f>
        <v/>
      </c>
      <c r="R320">
        <f>SUM(K320:M320)</f>
        <v/>
      </c>
      <c r="S320">
        <f>SUM(O320:R320)</f>
        <v/>
      </c>
      <c r="T320" s="3">
        <f>IF(S320=0,"",O320/S320)</f>
        <v/>
      </c>
      <c r="U320" s="3">
        <f>IF(S320=0,"",P320/S320)</f>
        <v/>
      </c>
      <c r="V320" s="3">
        <f>IF(S320=0,"",Q320/S320)</f>
        <v/>
      </c>
      <c r="W320" s="3">
        <f>IF(S320=0,"",R320/S320)</f>
        <v/>
      </c>
      <c r="X320" s="4">
        <f>IF(S320=0,"",T320*Pesos!$B$2+U320*Pesos!$B$3+V320*Pesos!$B$4+W320*Pesos!$B$5)</f>
        <v/>
      </c>
    </row>
    <row r="321">
      <c r="A321" s="2" t="n">
        <v>320</v>
      </c>
      <c r="B321" t="n">
        <v>7</v>
      </c>
      <c r="C321" t="n">
        <v>105</v>
      </c>
      <c r="D321" t="n">
        <v>235</v>
      </c>
      <c r="E321" t="n">
        <v>300</v>
      </c>
      <c r="F321" t="n">
        <v>200</v>
      </c>
      <c r="G321" t="n">
        <v>225</v>
      </c>
      <c r="H321" t="n">
        <v>155</v>
      </c>
      <c r="I321" t="n">
        <v>935</v>
      </c>
      <c r="J321" t="n">
        <v>790</v>
      </c>
      <c r="K321" t="n">
        <v>535</v>
      </c>
      <c r="L321" t="n">
        <v>710</v>
      </c>
      <c r="M321" t="n">
        <v>1105</v>
      </c>
      <c r="N321" s="6" t="n">
        <v>5295</v>
      </c>
      <c r="O321">
        <f>SUM(C321:H321)</f>
        <v/>
      </c>
      <c r="P321">
        <f>I321</f>
        <v/>
      </c>
      <c r="Q321">
        <f>J321</f>
        <v/>
      </c>
      <c r="R321">
        <f>SUM(K321:M321)</f>
        <v/>
      </c>
      <c r="S321">
        <f>SUM(O321:R321)</f>
        <v/>
      </c>
      <c r="T321" s="3">
        <f>IF(S321=0,"",O321/S321)</f>
        <v/>
      </c>
      <c r="U321" s="3">
        <f>IF(S321=0,"",P321/S321)</f>
        <v/>
      </c>
      <c r="V321" s="3">
        <f>IF(S321=0,"",Q321/S321)</f>
        <v/>
      </c>
      <c r="W321" s="3">
        <f>IF(S321=0,"",R321/S321)</f>
        <v/>
      </c>
      <c r="X321" s="4">
        <f>IF(S321=0,"",T321*Pesos!$B$2+U321*Pesos!$B$3+V321*Pesos!$B$4+W321*Pesos!$B$5)</f>
        <v/>
      </c>
    </row>
    <row r="322">
      <c r="A322" s="2" t="n">
        <v>321</v>
      </c>
      <c r="B322" t="n">
        <v>7</v>
      </c>
      <c r="C322" t="n">
        <v>360</v>
      </c>
      <c r="D322" t="n">
        <v>735</v>
      </c>
      <c r="E322" t="n">
        <v>355</v>
      </c>
      <c r="F322" t="n">
        <v>435</v>
      </c>
      <c r="G322" t="n">
        <v>440</v>
      </c>
      <c r="H322" t="n">
        <v>600</v>
      </c>
      <c r="I322" t="n">
        <v>3790</v>
      </c>
      <c r="J322" t="n">
        <v>6540</v>
      </c>
      <c r="K322" t="n">
        <v>665</v>
      </c>
      <c r="L322" t="n">
        <v>310</v>
      </c>
      <c r="M322" t="n">
        <v>90</v>
      </c>
      <c r="N322" s="6" t="n">
        <v>14320</v>
      </c>
      <c r="O322">
        <f>SUM(C322:H322)</f>
        <v/>
      </c>
      <c r="P322">
        <f>I322</f>
        <v/>
      </c>
      <c r="Q322">
        <f>J322</f>
        <v/>
      </c>
      <c r="R322">
        <f>SUM(K322:M322)</f>
        <v/>
      </c>
      <c r="S322">
        <f>SUM(O322:R322)</f>
        <v/>
      </c>
      <c r="T322" s="3">
        <f>IF(S322=0,"",O322/S322)</f>
        <v/>
      </c>
      <c r="U322" s="3">
        <f>IF(S322=0,"",P322/S322)</f>
        <v/>
      </c>
      <c r="V322" s="3">
        <f>IF(S322=0,"",Q322/S322)</f>
        <v/>
      </c>
      <c r="W322" s="3">
        <f>IF(S322=0,"",R322/S322)</f>
        <v/>
      </c>
      <c r="X322" s="4">
        <f>IF(S322=0,"",T322*Pesos!$B$2+U322*Pesos!$B$3+V322*Pesos!$B$4+W322*Pesos!$B$5)</f>
        <v/>
      </c>
    </row>
    <row r="323">
      <c r="A323" s="2" t="n">
        <v>322</v>
      </c>
      <c r="B323" t="n">
        <v>9</v>
      </c>
      <c r="C323" t="n">
        <v>335</v>
      </c>
      <c r="D323" t="n">
        <v>550</v>
      </c>
      <c r="E323" t="n">
        <v>170</v>
      </c>
      <c r="F323" t="n">
        <v>305</v>
      </c>
      <c r="G323" t="n">
        <v>170</v>
      </c>
      <c r="H323" t="n">
        <v>415</v>
      </c>
      <c r="I323" t="n">
        <v>1205</v>
      </c>
      <c r="J323" t="n">
        <v>1670</v>
      </c>
      <c r="K323" t="n">
        <v>1335</v>
      </c>
      <c r="L323" t="n">
        <v>1175</v>
      </c>
      <c r="M323" t="n">
        <v>1745</v>
      </c>
      <c r="N323" s="6" t="n">
        <v>9075</v>
      </c>
      <c r="O323">
        <f>SUM(C323:H323)</f>
        <v/>
      </c>
      <c r="P323">
        <f>I323</f>
        <v/>
      </c>
      <c r="Q323">
        <f>J323</f>
        <v/>
      </c>
      <c r="R323">
        <f>SUM(K323:M323)</f>
        <v/>
      </c>
      <c r="S323">
        <f>SUM(O323:R323)</f>
        <v/>
      </c>
      <c r="T323" s="3">
        <f>IF(S323=0,"",O323/S323)</f>
        <v/>
      </c>
      <c r="U323" s="3">
        <f>IF(S323=0,"",P323/S323)</f>
        <v/>
      </c>
      <c r="V323" s="3">
        <f>IF(S323=0,"",Q323/S323)</f>
        <v/>
      </c>
      <c r="W323" s="3">
        <f>IF(S323=0,"",R323/S323)</f>
        <v/>
      </c>
      <c r="X323" s="4">
        <f>IF(S323=0,"",T323*Pesos!$B$2+U323*Pesos!$B$3+V323*Pesos!$B$4+W323*Pesos!$B$5)</f>
        <v/>
      </c>
    </row>
    <row r="324">
      <c r="A324" s="2" t="n">
        <v>323</v>
      </c>
      <c r="B324" t="n">
        <v>8</v>
      </c>
      <c r="C324" t="n">
        <v>190</v>
      </c>
      <c r="D324" t="n">
        <v>310</v>
      </c>
      <c r="E324" t="n">
        <v>340</v>
      </c>
      <c r="F324" t="n">
        <v>140</v>
      </c>
      <c r="G324" t="n">
        <v>95</v>
      </c>
      <c r="H324" t="n">
        <v>170</v>
      </c>
      <c r="I324" t="n">
        <v>1620</v>
      </c>
      <c r="J324" t="n">
        <v>1380</v>
      </c>
      <c r="K324" t="n">
        <v>775</v>
      </c>
      <c r="L324" t="n">
        <v>1010</v>
      </c>
      <c r="M324" t="n">
        <v>1330</v>
      </c>
      <c r="N324" s="6" t="n">
        <v>7360</v>
      </c>
      <c r="O324">
        <f>SUM(C324:H324)</f>
        <v/>
      </c>
      <c r="P324">
        <f>I324</f>
        <v/>
      </c>
      <c r="Q324">
        <f>J324</f>
        <v/>
      </c>
      <c r="R324">
        <f>SUM(K324:M324)</f>
        <v/>
      </c>
      <c r="S324">
        <f>SUM(O324:R324)</f>
        <v/>
      </c>
      <c r="T324" s="3">
        <f>IF(S324=0,"",O324/S324)</f>
        <v/>
      </c>
      <c r="U324" s="3">
        <f>IF(S324=0,"",P324/S324)</f>
        <v/>
      </c>
      <c r="V324" s="3">
        <f>IF(S324=0,"",Q324/S324)</f>
        <v/>
      </c>
      <c r="W324" s="3">
        <f>IF(S324=0,"",R324/S324)</f>
        <v/>
      </c>
      <c r="X324" s="4">
        <f>IF(S324=0,"",T324*Pesos!$B$2+U324*Pesos!$B$3+V324*Pesos!$B$4+W324*Pesos!$B$5)</f>
        <v/>
      </c>
    </row>
    <row r="325">
      <c r="A325" s="2" t="n">
        <v>324</v>
      </c>
      <c r="B325" t="n">
        <v>7</v>
      </c>
      <c r="C325" t="n">
        <v>475</v>
      </c>
      <c r="D325" t="n">
        <v>120</v>
      </c>
      <c r="E325" t="n">
        <v>590</v>
      </c>
      <c r="F325" t="n">
        <v>150</v>
      </c>
      <c r="G325" t="n">
        <v>155</v>
      </c>
      <c r="H325" t="n">
        <v>335</v>
      </c>
      <c r="I325" t="n">
        <v>640</v>
      </c>
      <c r="J325" t="n">
        <v>805</v>
      </c>
      <c r="K325" t="n">
        <v>470</v>
      </c>
      <c r="L325" t="n">
        <v>400</v>
      </c>
      <c r="M325" t="n">
        <v>1695</v>
      </c>
      <c r="N325" s="6" t="n">
        <v>5840</v>
      </c>
      <c r="O325">
        <f>SUM(C325:H325)</f>
        <v/>
      </c>
      <c r="P325">
        <f>I325</f>
        <v/>
      </c>
      <c r="Q325">
        <f>J325</f>
        <v/>
      </c>
      <c r="R325">
        <f>SUM(K325:M325)</f>
        <v/>
      </c>
      <c r="S325">
        <f>SUM(O325:R325)</f>
        <v/>
      </c>
      <c r="T325" s="3">
        <f>IF(S325=0,"",O325/S325)</f>
        <v/>
      </c>
      <c r="U325" s="3">
        <f>IF(S325=0,"",P325/S325)</f>
        <v/>
      </c>
      <c r="V325" s="3">
        <f>IF(S325=0,"",Q325/S325)</f>
        <v/>
      </c>
      <c r="W325" s="3">
        <f>IF(S325=0,"",R325/S325)</f>
        <v/>
      </c>
      <c r="X325" s="4">
        <f>IF(S325=0,"",T325*Pesos!$B$2+U325*Pesos!$B$3+V325*Pesos!$B$4+W325*Pesos!$B$5)</f>
        <v/>
      </c>
    </row>
    <row r="326">
      <c r="A326" s="2" t="n">
        <v>325</v>
      </c>
      <c r="B326" t="n">
        <v>8</v>
      </c>
      <c r="C326" t="n">
        <v>940</v>
      </c>
      <c r="D326" t="n">
        <v>290</v>
      </c>
      <c r="E326" t="n">
        <v>380</v>
      </c>
      <c r="F326" t="n">
        <v>365</v>
      </c>
      <c r="G326" t="n">
        <v>75</v>
      </c>
      <c r="H326" t="n">
        <v>160</v>
      </c>
      <c r="I326" t="n">
        <v>1180</v>
      </c>
      <c r="J326" t="n">
        <v>1435</v>
      </c>
      <c r="K326" t="n">
        <v>820</v>
      </c>
      <c r="L326" t="n">
        <v>585</v>
      </c>
      <c r="M326" t="n">
        <v>1770</v>
      </c>
      <c r="N326" s="6" t="n">
        <v>8005</v>
      </c>
      <c r="O326">
        <f>SUM(C326:H326)</f>
        <v/>
      </c>
      <c r="P326">
        <f>I326</f>
        <v/>
      </c>
      <c r="Q326">
        <f>J326</f>
        <v/>
      </c>
      <c r="R326">
        <f>SUM(K326:M326)</f>
        <v/>
      </c>
      <c r="S326">
        <f>SUM(O326:R326)</f>
        <v/>
      </c>
      <c r="T326" s="3">
        <f>IF(S326=0,"",O326/S326)</f>
        <v/>
      </c>
      <c r="U326" s="3">
        <f>IF(S326=0,"",P326/S326)</f>
        <v/>
      </c>
      <c r="V326" s="3">
        <f>IF(S326=0,"",Q326/S326)</f>
        <v/>
      </c>
      <c r="W326" s="3">
        <f>IF(S326=0,"",R326/S326)</f>
        <v/>
      </c>
      <c r="X326" s="4">
        <f>IF(S326=0,"",T326*Pesos!$B$2+U326*Pesos!$B$3+V326*Pesos!$B$4+W326*Pesos!$B$5)</f>
        <v/>
      </c>
    </row>
    <row r="327">
      <c r="A327" s="2" t="n">
        <v>326</v>
      </c>
      <c r="B327" t="n">
        <v>7</v>
      </c>
      <c r="C327" t="n">
        <v>650</v>
      </c>
      <c r="D327" t="n">
        <v>310</v>
      </c>
      <c r="E327" t="n">
        <v>435</v>
      </c>
      <c r="F327" t="n">
        <v>605</v>
      </c>
      <c r="G327" t="n">
        <v>455</v>
      </c>
      <c r="H327" t="n">
        <v>270</v>
      </c>
      <c r="I327" t="n">
        <v>1255</v>
      </c>
      <c r="J327" t="n">
        <v>1655</v>
      </c>
      <c r="K327" t="n">
        <v>1275</v>
      </c>
      <c r="L327" t="n">
        <v>1070</v>
      </c>
      <c r="M327" t="n">
        <v>1120</v>
      </c>
      <c r="N327" s="6" t="n">
        <v>9105</v>
      </c>
      <c r="O327">
        <f>SUM(C327:H327)</f>
        <v/>
      </c>
      <c r="P327">
        <f>I327</f>
        <v/>
      </c>
      <c r="Q327">
        <f>J327</f>
        <v/>
      </c>
      <c r="R327">
        <f>SUM(K327:M327)</f>
        <v/>
      </c>
      <c r="S327">
        <f>SUM(O327:R327)</f>
        <v/>
      </c>
      <c r="T327" s="3">
        <f>IF(S327=0,"",O327/S327)</f>
        <v/>
      </c>
      <c r="U327" s="3">
        <f>IF(S327=0,"",P327/S327)</f>
        <v/>
      </c>
      <c r="V327" s="3">
        <f>IF(S327=0,"",Q327/S327)</f>
        <v/>
      </c>
      <c r="W327" s="3">
        <f>IF(S327=0,"",R327/S327)</f>
        <v/>
      </c>
      <c r="X327" s="4">
        <f>IF(S327=0,"",T327*Pesos!$B$2+U327*Pesos!$B$3+V327*Pesos!$B$4+W327*Pesos!$B$5)</f>
        <v/>
      </c>
    </row>
    <row r="328">
      <c r="A328" s="2" t="n">
        <v>327</v>
      </c>
      <c r="B328" t="n">
        <v>7</v>
      </c>
      <c r="C328" t="n">
        <v>760</v>
      </c>
      <c r="D328" t="n">
        <v>625</v>
      </c>
      <c r="E328" t="n">
        <v>675</v>
      </c>
      <c r="F328" t="n">
        <v>460</v>
      </c>
      <c r="G328" t="n">
        <v>550</v>
      </c>
      <c r="H328" t="n">
        <v>485</v>
      </c>
      <c r="I328" t="n">
        <v>1365</v>
      </c>
      <c r="J328" t="n">
        <v>1640</v>
      </c>
      <c r="K328" t="n">
        <v>1145</v>
      </c>
      <c r="L328" t="n">
        <v>1525</v>
      </c>
      <c r="M328" t="n">
        <v>830</v>
      </c>
      <c r="N328" s="6" t="n">
        <v>10060</v>
      </c>
      <c r="O328">
        <f>SUM(C328:H328)</f>
        <v/>
      </c>
      <c r="P328">
        <f>I328</f>
        <v/>
      </c>
      <c r="Q328">
        <f>J328</f>
        <v/>
      </c>
      <c r="R328">
        <f>SUM(K328:M328)</f>
        <v/>
      </c>
      <c r="S328">
        <f>SUM(O328:R328)</f>
        <v/>
      </c>
      <c r="T328" s="3">
        <f>IF(S328=0,"",O328/S328)</f>
        <v/>
      </c>
      <c r="U328" s="3">
        <f>IF(S328=0,"",P328/S328)</f>
        <v/>
      </c>
      <c r="V328" s="3">
        <f>IF(S328=0,"",Q328/S328)</f>
        <v/>
      </c>
      <c r="W328" s="3">
        <f>IF(S328=0,"",R328/S328)</f>
        <v/>
      </c>
      <c r="X328" s="4">
        <f>IF(S328=0,"",T328*Pesos!$B$2+U328*Pesos!$B$3+V328*Pesos!$B$4+W328*Pesos!$B$5)</f>
        <v/>
      </c>
    </row>
    <row r="329">
      <c r="A329" s="2" t="n">
        <v>328</v>
      </c>
      <c r="B329" t="n">
        <v>8</v>
      </c>
      <c r="C329" t="n">
        <v>915</v>
      </c>
      <c r="D329" t="n">
        <v>650</v>
      </c>
      <c r="E329" t="n">
        <v>465</v>
      </c>
      <c r="F329" t="n">
        <v>230</v>
      </c>
      <c r="G329" t="n">
        <v>565</v>
      </c>
      <c r="H329" t="n">
        <v>465</v>
      </c>
      <c r="I329" t="n">
        <v>1515</v>
      </c>
      <c r="J329" t="n">
        <v>1875</v>
      </c>
      <c r="K329" t="n">
        <v>1485</v>
      </c>
      <c r="L329" t="n">
        <v>1325</v>
      </c>
      <c r="M329" t="n">
        <v>1180</v>
      </c>
      <c r="N329" s="6" t="n">
        <v>10675</v>
      </c>
      <c r="O329">
        <f>SUM(C329:H329)</f>
        <v/>
      </c>
      <c r="P329">
        <f>I329</f>
        <v/>
      </c>
      <c r="Q329">
        <f>J329</f>
        <v/>
      </c>
      <c r="R329">
        <f>SUM(K329:M329)</f>
        <v/>
      </c>
      <c r="S329">
        <f>SUM(O329:R329)</f>
        <v/>
      </c>
      <c r="T329" s="3">
        <f>IF(S329=0,"",O329/S329)</f>
        <v/>
      </c>
      <c r="U329" s="3">
        <f>IF(S329=0,"",P329/S329)</f>
        <v/>
      </c>
      <c r="V329" s="3">
        <f>IF(S329=0,"",Q329/S329)</f>
        <v/>
      </c>
      <c r="W329" s="3">
        <f>IF(S329=0,"",R329/S329)</f>
        <v/>
      </c>
      <c r="X329" s="4">
        <f>IF(S329=0,"",T329*Pesos!$B$2+U329*Pesos!$B$3+V329*Pesos!$B$4+W329*Pesos!$B$5)</f>
        <v/>
      </c>
    </row>
    <row r="330">
      <c r="A330" s="2" t="n">
        <v>329</v>
      </c>
      <c r="B330" t="n">
        <v>7</v>
      </c>
      <c r="C330" t="n">
        <v>515</v>
      </c>
      <c r="D330" t="n">
        <v>1005</v>
      </c>
      <c r="E330" t="n">
        <v>235</v>
      </c>
      <c r="F330" s="7" t="n">
        <v>55</v>
      </c>
      <c r="G330" t="n">
        <v>150</v>
      </c>
      <c r="H330" t="n">
        <v>225</v>
      </c>
      <c r="I330" t="n">
        <v>780</v>
      </c>
      <c r="J330" t="n">
        <v>1175</v>
      </c>
      <c r="K330" t="n">
        <v>840</v>
      </c>
      <c r="L330" t="n">
        <v>1215</v>
      </c>
      <c r="M330" t="n">
        <v>595</v>
      </c>
      <c r="N330" s="6" t="n">
        <v>6795</v>
      </c>
      <c r="O330">
        <f>SUM(C330:H330)</f>
        <v/>
      </c>
      <c r="P330">
        <f>I330</f>
        <v/>
      </c>
      <c r="Q330">
        <f>J330</f>
        <v/>
      </c>
      <c r="R330">
        <f>SUM(K330:M330)</f>
        <v/>
      </c>
      <c r="S330">
        <f>SUM(O330:R330)</f>
        <v/>
      </c>
      <c r="T330" s="3">
        <f>IF(S330=0,"",O330/S330)</f>
        <v/>
      </c>
      <c r="U330" s="3">
        <f>IF(S330=0,"",P330/S330)</f>
        <v/>
      </c>
      <c r="V330" s="3">
        <f>IF(S330=0,"",Q330/S330)</f>
        <v/>
      </c>
      <c r="W330" s="3">
        <f>IF(S330=0,"",R330/S330)</f>
        <v/>
      </c>
      <c r="X330" s="4">
        <f>IF(S330=0,"",T330*Pesos!$B$2+U330*Pesos!$B$3+V330*Pesos!$B$4+W330*Pesos!$B$5)</f>
        <v/>
      </c>
    </row>
    <row r="331">
      <c r="A331" s="2" t="n">
        <v>330</v>
      </c>
      <c r="B331" t="n">
        <v>7</v>
      </c>
      <c r="C331" t="n">
        <v>505</v>
      </c>
      <c r="D331" t="n">
        <v>770</v>
      </c>
      <c r="E331" t="n">
        <v>795</v>
      </c>
      <c r="F331" t="n">
        <v>650</v>
      </c>
      <c r="G331" t="n">
        <v>595</v>
      </c>
      <c r="H331" t="n">
        <v>615</v>
      </c>
      <c r="I331" t="n">
        <v>4970</v>
      </c>
      <c r="J331" t="n">
        <v>6335</v>
      </c>
      <c r="K331" t="n">
        <v>0</v>
      </c>
      <c r="L331" t="n">
        <v>80</v>
      </c>
      <c r="M331" t="n">
        <v>125</v>
      </c>
      <c r="N331" s="6" t="n">
        <v>15440</v>
      </c>
      <c r="O331">
        <f>SUM(C331:H331)</f>
        <v/>
      </c>
      <c r="P331">
        <f>I331</f>
        <v/>
      </c>
      <c r="Q331">
        <f>J331</f>
        <v/>
      </c>
      <c r="R331">
        <f>SUM(K331:M331)</f>
        <v/>
      </c>
      <c r="S331">
        <f>SUM(O331:R331)</f>
        <v/>
      </c>
      <c r="T331" s="3">
        <f>IF(S331=0,"",O331/S331)</f>
        <v/>
      </c>
      <c r="U331" s="3">
        <f>IF(S331=0,"",P331/S331)</f>
        <v/>
      </c>
      <c r="V331" s="3">
        <f>IF(S331=0,"",Q331/S331)</f>
        <v/>
      </c>
      <c r="W331" s="3">
        <f>IF(S331=0,"",R331/S331)</f>
        <v/>
      </c>
      <c r="X331" s="4">
        <f>IF(S331=0,"",T331*Pesos!$B$2+U331*Pesos!$B$3+V331*Pesos!$B$4+W331*Pesos!$B$5)</f>
        <v/>
      </c>
    </row>
    <row r="332">
      <c r="A332" s="2" t="n">
        <v>331</v>
      </c>
      <c r="B332" t="n">
        <v>10</v>
      </c>
      <c r="C332" t="n">
        <v>1155</v>
      </c>
      <c r="D332" t="n">
        <v>890</v>
      </c>
      <c r="E332" t="n">
        <v>745</v>
      </c>
      <c r="F332" t="n">
        <v>345</v>
      </c>
      <c r="G332" t="n">
        <v>620</v>
      </c>
      <c r="H332" t="n">
        <v>385</v>
      </c>
      <c r="I332" t="n">
        <v>1845</v>
      </c>
      <c r="J332" t="n">
        <v>2140</v>
      </c>
      <c r="K332" t="n">
        <v>1225</v>
      </c>
      <c r="L332" t="n">
        <v>1030</v>
      </c>
      <c r="M332" t="n">
        <v>2620</v>
      </c>
      <c r="N332" s="6" t="n">
        <v>12995</v>
      </c>
      <c r="O332">
        <f>SUM(C332:H332)</f>
        <v/>
      </c>
      <c r="P332">
        <f>I332</f>
        <v/>
      </c>
      <c r="Q332">
        <f>J332</f>
        <v/>
      </c>
      <c r="R332">
        <f>SUM(K332:M332)</f>
        <v/>
      </c>
      <c r="S332">
        <f>SUM(O332:R332)</f>
        <v/>
      </c>
      <c r="T332" s="3">
        <f>IF(S332=0,"",O332/S332)</f>
        <v/>
      </c>
      <c r="U332" s="3">
        <f>IF(S332=0,"",P332/S332)</f>
        <v/>
      </c>
      <c r="V332" s="3">
        <f>IF(S332=0,"",Q332/S332)</f>
        <v/>
      </c>
      <c r="W332" s="3">
        <f>IF(S332=0,"",R332/S332)</f>
        <v/>
      </c>
      <c r="X332" s="4">
        <f>IF(S332=0,"",T332*Pesos!$B$2+U332*Pesos!$B$3+V332*Pesos!$B$4+W332*Pesos!$B$5)</f>
        <v/>
      </c>
    </row>
    <row r="333">
      <c r="A333" s="2" t="n">
        <v>332</v>
      </c>
      <c r="B333" t="n">
        <v>8</v>
      </c>
      <c r="C333" t="n">
        <v>895</v>
      </c>
      <c r="D333" t="n">
        <v>660</v>
      </c>
      <c r="E333" t="n">
        <v>590</v>
      </c>
      <c r="F333" t="n">
        <v>470</v>
      </c>
      <c r="G333" t="n">
        <v>375</v>
      </c>
      <c r="H333" t="n">
        <v>395</v>
      </c>
      <c r="I333" t="n">
        <v>1785</v>
      </c>
      <c r="J333" t="n">
        <v>1875</v>
      </c>
      <c r="K333" t="n">
        <v>1290</v>
      </c>
      <c r="L333" t="n">
        <v>1225</v>
      </c>
      <c r="M333" t="n">
        <v>1295</v>
      </c>
      <c r="N333" s="6" t="n">
        <v>10860</v>
      </c>
      <c r="O333">
        <f>SUM(C333:H333)</f>
        <v/>
      </c>
      <c r="P333">
        <f>I333</f>
        <v/>
      </c>
      <c r="Q333">
        <f>J333</f>
        <v/>
      </c>
      <c r="R333">
        <f>SUM(K333:M333)</f>
        <v/>
      </c>
      <c r="S333">
        <f>SUM(O333:R333)</f>
        <v/>
      </c>
      <c r="T333" s="3">
        <f>IF(S333=0,"",O333/S333)</f>
        <v/>
      </c>
      <c r="U333" s="3">
        <f>IF(S333=0,"",P333/S333)</f>
        <v/>
      </c>
      <c r="V333" s="3">
        <f>IF(S333=0,"",Q333/S333)</f>
        <v/>
      </c>
      <c r="W333" s="3">
        <f>IF(S333=0,"",R333/S333)</f>
        <v/>
      </c>
      <c r="X333" s="4">
        <f>IF(S333=0,"",T333*Pesos!$B$2+U333*Pesos!$B$3+V333*Pesos!$B$4+W333*Pesos!$B$5)</f>
        <v/>
      </c>
    </row>
    <row r="334">
      <c r="A334" s="2" t="n">
        <v>333</v>
      </c>
      <c r="B334" t="n">
        <v>8</v>
      </c>
      <c r="C334" t="n">
        <v>465</v>
      </c>
      <c r="D334" t="n">
        <v>790</v>
      </c>
      <c r="E334" t="n">
        <v>930</v>
      </c>
      <c r="F334" t="n">
        <v>415</v>
      </c>
      <c r="G334" t="n">
        <v>540</v>
      </c>
      <c r="H334" t="n">
        <v>625</v>
      </c>
      <c r="I334" t="n">
        <v>1510</v>
      </c>
      <c r="J334" t="n">
        <v>2555</v>
      </c>
      <c r="K334" t="n">
        <v>1735</v>
      </c>
      <c r="L334" t="n">
        <v>1050</v>
      </c>
      <c r="M334" t="n">
        <v>1190</v>
      </c>
      <c r="N334" s="6" t="n">
        <v>11800</v>
      </c>
      <c r="O334">
        <f>SUM(C334:H334)</f>
        <v/>
      </c>
      <c r="P334">
        <f>I334</f>
        <v/>
      </c>
      <c r="Q334">
        <f>J334</f>
        <v/>
      </c>
      <c r="R334">
        <f>SUM(K334:M334)</f>
        <v/>
      </c>
      <c r="S334">
        <f>SUM(O334:R334)</f>
        <v/>
      </c>
      <c r="T334" s="3">
        <f>IF(S334=0,"",O334/S334)</f>
        <v/>
      </c>
      <c r="U334" s="3">
        <f>IF(S334=0,"",P334/S334)</f>
        <v/>
      </c>
      <c r="V334" s="3">
        <f>IF(S334=0,"",Q334/S334)</f>
        <v/>
      </c>
      <c r="W334" s="3">
        <f>IF(S334=0,"",R334/S334)</f>
        <v/>
      </c>
      <c r="X334" s="4">
        <f>IF(S334=0,"",T334*Pesos!$B$2+U334*Pesos!$B$3+V334*Pesos!$B$4+W334*Pesos!$B$5)</f>
        <v/>
      </c>
    </row>
    <row r="335">
      <c r="A335" s="2" t="n">
        <v>334</v>
      </c>
      <c r="B335" t="n">
        <v>10</v>
      </c>
      <c r="C335" t="n">
        <v>255</v>
      </c>
      <c r="D335" t="n">
        <v>455</v>
      </c>
      <c r="E335" t="n">
        <v>545</v>
      </c>
      <c r="F335" t="n">
        <v>335</v>
      </c>
      <c r="G335" t="n">
        <v>550</v>
      </c>
      <c r="H335" t="n">
        <v>460</v>
      </c>
      <c r="I335" t="n">
        <v>1240</v>
      </c>
      <c r="J335" t="n">
        <v>1475</v>
      </c>
      <c r="K335" t="n">
        <v>1000</v>
      </c>
      <c r="L335" t="n">
        <v>1080</v>
      </c>
      <c r="M335" t="n">
        <v>1385</v>
      </c>
      <c r="N335" s="6" t="n">
        <v>8775</v>
      </c>
      <c r="O335">
        <f>SUM(C335:H335)</f>
        <v/>
      </c>
      <c r="P335">
        <f>I335</f>
        <v/>
      </c>
      <c r="Q335">
        <f>J335</f>
        <v/>
      </c>
      <c r="R335">
        <f>SUM(K335:M335)</f>
        <v/>
      </c>
      <c r="S335">
        <f>SUM(O335:R335)</f>
        <v/>
      </c>
      <c r="T335" s="3">
        <f>IF(S335=0,"",O335/S335)</f>
        <v/>
      </c>
      <c r="U335" s="3">
        <f>IF(S335=0,"",P335/S335)</f>
        <v/>
      </c>
      <c r="V335" s="3">
        <f>IF(S335=0,"",Q335/S335)</f>
        <v/>
      </c>
      <c r="W335" s="3">
        <f>IF(S335=0,"",R335/S335)</f>
        <v/>
      </c>
      <c r="X335" s="4">
        <f>IF(S335=0,"",T335*Pesos!$B$2+U335*Pesos!$B$3+V335*Pesos!$B$4+W335*Pesos!$B$5)</f>
        <v/>
      </c>
    </row>
    <row r="336">
      <c r="A336" s="2" t="n">
        <v>335</v>
      </c>
      <c r="B336" t="n">
        <v>10</v>
      </c>
      <c r="C336" t="n">
        <v>930</v>
      </c>
      <c r="D336" t="n">
        <v>605</v>
      </c>
      <c r="E336" t="n">
        <v>385</v>
      </c>
      <c r="F336" t="n">
        <v>215</v>
      </c>
      <c r="G336" t="n">
        <v>275</v>
      </c>
      <c r="H336" t="n">
        <v>580</v>
      </c>
      <c r="I336" t="n">
        <v>1810</v>
      </c>
      <c r="J336" t="n">
        <v>1535</v>
      </c>
      <c r="K336" t="n">
        <v>745</v>
      </c>
      <c r="L336" t="n">
        <v>865</v>
      </c>
      <c r="M336" t="n">
        <v>1590</v>
      </c>
      <c r="N336" s="6" t="n">
        <v>9535</v>
      </c>
      <c r="O336">
        <f>SUM(C336:H336)</f>
        <v/>
      </c>
      <c r="P336">
        <f>I336</f>
        <v/>
      </c>
      <c r="Q336">
        <f>J336</f>
        <v/>
      </c>
      <c r="R336">
        <f>SUM(K336:M336)</f>
        <v/>
      </c>
      <c r="S336">
        <f>SUM(O336:R336)</f>
        <v/>
      </c>
      <c r="T336" s="3">
        <f>IF(S336=0,"",O336/S336)</f>
        <v/>
      </c>
      <c r="U336" s="3">
        <f>IF(S336=0,"",P336/S336)</f>
        <v/>
      </c>
      <c r="V336" s="3">
        <f>IF(S336=0,"",Q336/S336)</f>
        <v/>
      </c>
      <c r="W336" s="3">
        <f>IF(S336=0,"",R336/S336)</f>
        <v/>
      </c>
      <c r="X336" s="4">
        <f>IF(S336=0,"",T336*Pesos!$B$2+U336*Pesos!$B$3+V336*Pesos!$B$4+W336*Pesos!$B$5)</f>
        <v/>
      </c>
    </row>
    <row r="337">
      <c r="A337" s="2" t="n">
        <v>336</v>
      </c>
      <c r="B337" t="n">
        <v>7</v>
      </c>
      <c r="C337" t="n">
        <v>830</v>
      </c>
      <c r="D337" t="n">
        <v>1075</v>
      </c>
      <c r="E337" t="n">
        <v>1020</v>
      </c>
      <c r="F337" t="n">
        <v>585</v>
      </c>
      <c r="G337" t="n">
        <v>480</v>
      </c>
      <c r="H337" t="n">
        <v>420</v>
      </c>
      <c r="I337" t="n">
        <v>1195</v>
      </c>
      <c r="J337" t="n">
        <v>1410</v>
      </c>
      <c r="K337" t="n">
        <v>610</v>
      </c>
      <c r="L337" t="n">
        <v>630</v>
      </c>
      <c r="M337" t="n">
        <v>1170</v>
      </c>
      <c r="N337" s="6" t="n">
        <v>9420</v>
      </c>
      <c r="O337">
        <f>SUM(C337:H337)</f>
        <v/>
      </c>
      <c r="P337">
        <f>I337</f>
        <v/>
      </c>
      <c r="Q337">
        <f>J337</f>
        <v/>
      </c>
      <c r="R337">
        <f>SUM(K337:M337)</f>
        <v/>
      </c>
      <c r="S337">
        <f>SUM(O337:R337)</f>
        <v/>
      </c>
      <c r="T337" s="3">
        <f>IF(S337=0,"",O337/S337)</f>
        <v/>
      </c>
      <c r="U337" s="3">
        <f>IF(S337=0,"",P337/S337)</f>
        <v/>
      </c>
      <c r="V337" s="3">
        <f>IF(S337=0,"",Q337/S337)</f>
        <v/>
      </c>
      <c r="W337" s="3">
        <f>IF(S337=0,"",R337/S337)</f>
        <v/>
      </c>
      <c r="X337" s="4">
        <f>IF(S337=0,"",T337*Pesos!$B$2+U337*Pesos!$B$3+V337*Pesos!$B$4+W337*Pesos!$B$5)</f>
        <v/>
      </c>
    </row>
    <row r="338">
      <c r="A338" s="2" t="n">
        <v>337</v>
      </c>
      <c r="B338" t="n">
        <v>10</v>
      </c>
      <c r="C338" t="n">
        <v>1060</v>
      </c>
      <c r="D338" t="n">
        <v>970</v>
      </c>
      <c r="E338" t="n">
        <v>450</v>
      </c>
      <c r="F338" t="n">
        <v>495</v>
      </c>
      <c r="G338" t="n">
        <v>375</v>
      </c>
      <c r="H338" t="n">
        <v>585</v>
      </c>
      <c r="I338" t="n">
        <v>1415</v>
      </c>
      <c r="J338" t="n">
        <v>2380</v>
      </c>
      <c r="K338" t="n">
        <v>2750</v>
      </c>
      <c r="L338" t="n">
        <v>1475</v>
      </c>
      <c r="M338" t="n">
        <v>1520</v>
      </c>
      <c r="N338" s="6" t="n">
        <v>13470</v>
      </c>
      <c r="O338">
        <f>SUM(C338:H338)</f>
        <v/>
      </c>
      <c r="P338">
        <f>I338</f>
        <v/>
      </c>
      <c r="Q338">
        <f>J338</f>
        <v/>
      </c>
      <c r="R338">
        <f>SUM(K338:M338)</f>
        <v/>
      </c>
      <c r="S338">
        <f>SUM(O338:R338)</f>
        <v/>
      </c>
      <c r="T338" s="3">
        <f>IF(S338=0,"",O338/S338)</f>
        <v/>
      </c>
      <c r="U338" s="3">
        <f>IF(S338=0,"",P338/S338)</f>
        <v/>
      </c>
      <c r="V338" s="3">
        <f>IF(S338=0,"",Q338/S338)</f>
        <v/>
      </c>
      <c r="W338" s="3">
        <f>IF(S338=0,"",R338/S338)</f>
        <v/>
      </c>
      <c r="X338" s="4">
        <f>IF(S338=0,"",T338*Pesos!$B$2+U338*Pesos!$B$3+V338*Pesos!$B$4+W338*Pesos!$B$5)</f>
        <v/>
      </c>
    </row>
    <row r="339">
      <c r="A339" s="2" t="n">
        <v>338</v>
      </c>
      <c r="B339" t="n">
        <v>10</v>
      </c>
      <c r="C339" t="n">
        <v>850</v>
      </c>
      <c r="D339" t="n">
        <v>915</v>
      </c>
      <c r="E339" t="n">
        <v>475</v>
      </c>
      <c r="F339" t="n">
        <v>545</v>
      </c>
      <c r="G339" t="n">
        <v>540</v>
      </c>
      <c r="H339" t="n">
        <v>550</v>
      </c>
      <c r="I339" t="n">
        <v>1775</v>
      </c>
      <c r="J339" t="n">
        <v>2315</v>
      </c>
      <c r="K339" t="n">
        <v>2715</v>
      </c>
      <c r="L339" t="n">
        <v>1285</v>
      </c>
      <c r="M339" t="n">
        <v>985</v>
      </c>
      <c r="N339" s="6" t="n">
        <v>12950</v>
      </c>
      <c r="O339">
        <f>SUM(C339:H339)</f>
        <v/>
      </c>
      <c r="P339">
        <f>I339</f>
        <v/>
      </c>
      <c r="Q339">
        <f>J339</f>
        <v/>
      </c>
      <c r="R339">
        <f>SUM(K339:M339)</f>
        <v/>
      </c>
      <c r="S339">
        <f>SUM(O339:R339)</f>
        <v/>
      </c>
      <c r="T339" s="3">
        <f>IF(S339=0,"",O339/S339)</f>
        <v/>
      </c>
      <c r="U339" s="3">
        <f>IF(S339=0,"",P339/S339)</f>
        <v/>
      </c>
      <c r="V339" s="3">
        <f>IF(S339=0,"",Q339/S339)</f>
        <v/>
      </c>
      <c r="W339" s="3">
        <f>IF(S339=0,"",R339/S339)</f>
        <v/>
      </c>
      <c r="X339" s="4">
        <f>IF(S339=0,"",T339*Pesos!$B$2+U339*Pesos!$B$3+V339*Pesos!$B$4+W339*Pesos!$B$5)</f>
        <v/>
      </c>
    </row>
    <row r="340">
      <c r="A340" s="2" t="n">
        <v>339</v>
      </c>
      <c r="B340" t="n">
        <v>9</v>
      </c>
      <c r="C340" t="n">
        <v>590</v>
      </c>
      <c r="D340" t="n">
        <v>865</v>
      </c>
      <c r="E340" t="n">
        <v>440</v>
      </c>
      <c r="F340" t="n">
        <v>870</v>
      </c>
      <c r="G340" t="n">
        <v>735</v>
      </c>
      <c r="H340" t="n">
        <v>750</v>
      </c>
      <c r="I340" t="n">
        <v>2315</v>
      </c>
      <c r="J340" t="n">
        <v>3735</v>
      </c>
      <c r="K340" t="n">
        <v>2575</v>
      </c>
      <c r="L340" t="n">
        <v>1080</v>
      </c>
      <c r="M340" t="n">
        <v>715</v>
      </c>
      <c r="N340" s="6" t="n">
        <v>14680</v>
      </c>
      <c r="O340">
        <f>SUM(C340:H340)</f>
        <v/>
      </c>
      <c r="P340">
        <f>I340</f>
        <v/>
      </c>
      <c r="Q340">
        <f>J340</f>
        <v/>
      </c>
      <c r="R340">
        <f>SUM(K340:M340)</f>
        <v/>
      </c>
      <c r="S340">
        <f>SUM(O340:R340)</f>
        <v/>
      </c>
      <c r="T340" s="3">
        <f>IF(S340=0,"",O340/S340)</f>
        <v/>
      </c>
      <c r="U340" s="3">
        <f>IF(S340=0,"",P340/S340)</f>
        <v/>
      </c>
      <c r="V340" s="3">
        <f>IF(S340=0,"",Q340/S340)</f>
        <v/>
      </c>
      <c r="W340" s="3">
        <f>IF(S340=0,"",R340/S340)</f>
        <v/>
      </c>
      <c r="X340" s="4">
        <f>IF(S340=0,"",T340*Pesos!$B$2+U340*Pesos!$B$3+V340*Pesos!$B$4+W340*Pesos!$B$5)</f>
        <v/>
      </c>
    </row>
    <row r="341">
      <c r="A341" s="2" t="n">
        <v>340</v>
      </c>
      <c r="B341" t="n">
        <v>9</v>
      </c>
      <c r="C341" t="n">
        <v>730</v>
      </c>
      <c r="D341" t="n">
        <v>975</v>
      </c>
      <c r="E341" t="n">
        <v>1035</v>
      </c>
      <c r="F341" t="n">
        <v>820</v>
      </c>
      <c r="G341" t="n">
        <v>865</v>
      </c>
      <c r="H341" t="n">
        <v>600</v>
      </c>
      <c r="I341" t="n">
        <v>1930</v>
      </c>
      <c r="J341" t="n">
        <v>2925</v>
      </c>
      <c r="K341" t="n">
        <v>2120</v>
      </c>
      <c r="L341" t="n">
        <v>1270</v>
      </c>
      <c r="M341" t="n">
        <v>1080</v>
      </c>
      <c r="N341" s="6" t="n">
        <v>14360</v>
      </c>
      <c r="O341">
        <f>SUM(C341:H341)</f>
        <v/>
      </c>
      <c r="P341">
        <f>I341</f>
        <v/>
      </c>
      <c r="Q341">
        <f>J341</f>
        <v/>
      </c>
      <c r="R341">
        <f>SUM(K341:M341)</f>
        <v/>
      </c>
      <c r="S341">
        <f>SUM(O341:R341)</f>
        <v/>
      </c>
      <c r="T341" s="3">
        <f>IF(S341=0,"",O341/S341)</f>
        <v/>
      </c>
      <c r="U341" s="3">
        <f>IF(S341=0,"",P341/S341)</f>
        <v/>
      </c>
      <c r="V341" s="3">
        <f>IF(S341=0,"",Q341/S341)</f>
        <v/>
      </c>
      <c r="W341" s="3">
        <f>IF(S341=0,"",R341/S341)</f>
        <v/>
      </c>
      <c r="X341" s="4">
        <f>IF(S341=0,"",T341*Pesos!$B$2+U341*Pesos!$B$3+V341*Pesos!$B$4+W341*Pesos!$B$5)</f>
        <v/>
      </c>
    </row>
    <row r="342">
      <c r="A342" s="2" t="n">
        <v>341</v>
      </c>
      <c r="B342" t="n">
        <v>12</v>
      </c>
      <c r="C342" t="n">
        <v>645</v>
      </c>
      <c r="D342" t="n">
        <v>1360</v>
      </c>
      <c r="E342" t="n">
        <v>945</v>
      </c>
      <c r="F342" t="n">
        <v>925</v>
      </c>
      <c r="G342" t="n">
        <v>565</v>
      </c>
      <c r="H342" t="n">
        <v>905</v>
      </c>
      <c r="I342" t="n">
        <v>2455</v>
      </c>
      <c r="J342" t="n">
        <v>3955</v>
      </c>
      <c r="K342" t="n">
        <v>2980</v>
      </c>
      <c r="L342" t="n">
        <v>1565</v>
      </c>
      <c r="M342" t="n">
        <v>480</v>
      </c>
      <c r="N342" s="6" t="n">
        <v>16780</v>
      </c>
      <c r="O342">
        <f>SUM(C342:H342)</f>
        <v/>
      </c>
      <c r="P342">
        <f>I342</f>
        <v/>
      </c>
      <c r="Q342">
        <f>J342</f>
        <v/>
      </c>
      <c r="R342">
        <f>SUM(K342:M342)</f>
        <v/>
      </c>
      <c r="S342">
        <f>SUM(O342:R342)</f>
        <v/>
      </c>
      <c r="T342" s="3">
        <f>IF(S342=0,"",O342/S342)</f>
        <v/>
      </c>
      <c r="U342" s="3">
        <f>IF(S342=0,"",P342/S342)</f>
        <v/>
      </c>
      <c r="V342" s="3">
        <f>IF(S342=0,"",Q342/S342)</f>
        <v/>
      </c>
      <c r="W342" s="3">
        <f>IF(S342=0,"",R342/S342)</f>
        <v/>
      </c>
      <c r="X342" s="4">
        <f>IF(S342=0,"",T342*Pesos!$B$2+U342*Pesos!$B$3+V342*Pesos!$B$4+W342*Pesos!$B$5)</f>
        <v/>
      </c>
    </row>
    <row r="343">
      <c r="A343" s="2" t="n">
        <v>342</v>
      </c>
      <c r="B343" t="n">
        <v>8</v>
      </c>
      <c r="C343" t="n">
        <v>1455</v>
      </c>
      <c r="D343" t="n">
        <v>1120</v>
      </c>
      <c r="E343" t="n">
        <v>1305</v>
      </c>
      <c r="F343" t="n">
        <v>680</v>
      </c>
      <c r="G343" t="n">
        <v>1295</v>
      </c>
      <c r="H343" t="n">
        <v>945</v>
      </c>
      <c r="I343" t="n">
        <v>2760</v>
      </c>
      <c r="J343" t="n">
        <v>5980</v>
      </c>
      <c r="K343" t="n">
        <v>1165</v>
      </c>
      <c r="L343" t="n">
        <v>1265</v>
      </c>
      <c r="M343" t="n">
        <v>430</v>
      </c>
      <c r="N343" s="6" t="n">
        <v>18390</v>
      </c>
      <c r="O343">
        <f>SUM(C343:H343)</f>
        <v/>
      </c>
      <c r="P343">
        <f>I343</f>
        <v/>
      </c>
      <c r="Q343">
        <f>J343</f>
        <v/>
      </c>
      <c r="R343">
        <f>SUM(K343:M343)</f>
        <v/>
      </c>
      <c r="S343">
        <f>SUM(O343:R343)</f>
        <v/>
      </c>
      <c r="T343" s="3">
        <f>IF(S343=0,"",O343/S343)</f>
        <v/>
      </c>
      <c r="U343" s="3">
        <f>IF(S343=0,"",P343/S343)</f>
        <v/>
      </c>
      <c r="V343" s="3">
        <f>IF(S343=0,"",Q343/S343)</f>
        <v/>
      </c>
      <c r="W343" s="3">
        <f>IF(S343=0,"",R343/S343)</f>
        <v/>
      </c>
      <c r="X343" s="4">
        <f>IF(S343=0,"",T343*Pesos!$B$2+U343*Pesos!$B$3+V343*Pesos!$B$4+W343*Pesos!$B$5)</f>
        <v/>
      </c>
    </row>
    <row r="344">
      <c r="A344" s="2" t="n">
        <v>343</v>
      </c>
      <c r="B344" t="n">
        <v>9</v>
      </c>
      <c r="C344" t="n">
        <v>690</v>
      </c>
      <c r="D344" t="n">
        <v>1560</v>
      </c>
      <c r="E344" t="n">
        <v>800</v>
      </c>
      <c r="F344" t="n">
        <v>780</v>
      </c>
      <c r="G344" t="n">
        <v>760</v>
      </c>
      <c r="H344" t="n">
        <v>980</v>
      </c>
      <c r="I344" t="n">
        <v>3115</v>
      </c>
      <c r="J344" t="n">
        <v>6045</v>
      </c>
      <c r="K344" t="n">
        <v>2115</v>
      </c>
      <c r="L344" t="n">
        <v>1105</v>
      </c>
      <c r="M344" t="n">
        <v>695</v>
      </c>
      <c r="N344" s="6" t="n">
        <v>18645</v>
      </c>
      <c r="O344">
        <f>SUM(C344:H344)</f>
        <v/>
      </c>
      <c r="P344">
        <f>I344</f>
        <v/>
      </c>
      <c r="Q344">
        <f>J344</f>
        <v/>
      </c>
      <c r="R344">
        <f>SUM(K344:M344)</f>
        <v/>
      </c>
      <c r="S344">
        <f>SUM(O344:R344)</f>
        <v/>
      </c>
      <c r="T344" s="3">
        <f>IF(S344=0,"",O344/S344)</f>
        <v/>
      </c>
      <c r="U344" s="3">
        <f>IF(S344=0,"",P344/S344)</f>
        <v/>
      </c>
      <c r="V344" s="3">
        <f>IF(S344=0,"",Q344/S344)</f>
        <v/>
      </c>
      <c r="W344" s="3">
        <f>IF(S344=0,"",R344/S344)</f>
        <v/>
      </c>
      <c r="X344" s="4">
        <f>IF(S344=0,"",T344*Pesos!$B$2+U344*Pesos!$B$3+V344*Pesos!$B$4+W344*Pesos!$B$5)</f>
        <v/>
      </c>
    </row>
    <row r="345">
      <c r="A345" s="2" t="n">
        <v>344</v>
      </c>
      <c r="B345" t="n">
        <v>12</v>
      </c>
      <c r="C345" t="n">
        <v>435</v>
      </c>
      <c r="D345" t="n">
        <v>380</v>
      </c>
      <c r="E345" t="n">
        <v>485</v>
      </c>
      <c r="F345" t="n">
        <v>470</v>
      </c>
      <c r="G345" t="n">
        <v>505</v>
      </c>
      <c r="H345" t="n">
        <v>225</v>
      </c>
      <c r="I345" t="n">
        <v>1450</v>
      </c>
      <c r="J345" t="n">
        <v>2235</v>
      </c>
      <c r="K345" t="n">
        <v>1380</v>
      </c>
      <c r="L345" t="n">
        <v>3870</v>
      </c>
      <c r="M345" t="n">
        <v>1175</v>
      </c>
      <c r="N345" s="6" t="n">
        <v>12610</v>
      </c>
      <c r="O345">
        <f>SUM(C345:H345)</f>
        <v/>
      </c>
      <c r="P345">
        <f>I345</f>
        <v/>
      </c>
      <c r="Q345">
        <f>J345</f>
        <v/>
      </c>
      <c r="R345">
        <f>SUM(K345:M345)</f>
        <v/>
      </c>
      <c r="S345">
        <f>SUM(O345:R345)</f>
        <v/>
      </c>
      <c r="T345" s="3">
        <f>IF(S345=0,"",O345/S345)</f>
        <v/>
      </c>
      <c r="U345" s="3">
        <f>IF(S345=0,"",P345/S345)</f>
        <v/>
      </c>
      <c r="V345" s="3">
        <f>IF(S345=0,"",Q345/S345)</f>
        <v/>
      </c>
      <c r="W345" s="3">
        <f>IF(S345=0,"",R345/S345)</f>
        <v/>
      </c>
      <c r="X345" s="4">
        <f>IF(S345=0,"",T345*Pesos!$B$2+U345*Pesos!$B$3+V345*Pesos!$B$4+W345*Pesos!$B$5)</f>
        <v/>
      </c>
    </row>
    <row r="346">
      <c r="A346" s="2" t="n">
        <v>345</v>
      </c>
      <c r="B346" t="n">
        <v>12</v>
      </c>
      <c r="C346" t="n">
        <v>720</v>
      </c>
      <c r="D346" t="n">
        <v>810</v>
      </c>
      <c r="E346" t="n">
        <v>655</v>
      </c>
      <c r="F346" t="n">
        <v>440</v>
      </c>
      <c r="G346" t="n">
        <v>310</v>
      </c>
      <c r="H346" t="n">
        <v>530</v>
      </c>
      <c r="I346" t="n">
        <v>1595</v>
      </c>
      <c r="J346" t="n">
        <v>3155</v>
      </c>
      <c r="K346" t="n">
        <v>4720</v>
      </c>
      <c r="L346" t="n">
        <v>2050</v>
      </c>
      <c r="M346" t="n">
        <v>840</v>
      </c>
      <c r="N346" s="6" t="n">
        <v>15830</v>
      </c>
      <c r="O346">
        <f>SUM(C346:H346)</f>
        <v/>
      </c>
      <c r="P346">
        <f>I346</f>
        <v/>
      </c>
      <c r="Q346">
        <f>J346</f>
        <v/>
      </c>
      <c r="R346">
        <f>SUM(K346:M346)</f>
        <v/>
      </c>
      <c r="S346">
        <f>SUM(O346:R346)</f>
        <v/>
      </c>
      <c r="T346" s="3">
        <f>IF(S346=0,"",O346/S346)</f>
        <v/>
      </c>
      <c r="U346" s="3">
        <f>IF(S346=0,"",P346/S346)</f>
        <v/>
      </c>
      <c r="V346" s="3">
        <f>IF(S346=0,"",Q346/S346)</f>
        <v/>
      </c>
      <c r="W346" s="3">
        <f>IF(S346=0,"",R346/S346)</f>
        <v/>
      </c>
      <c r="X346" s="4">
        <f>IF(S346=0,"",T346*Pesos!$B$2+U346*Pesos!$B$3+V346*Pesos!$B$4+W346*Pesos!$B$5)</f>
        <v/>
      </c>
    </row>
    <row r="347">
      <c r="A347" s="2" t="n">
        <v>346</v>
      </c>
      <c r="B347" t="n">
        <v>9</v>
      </c>
      <c r="C347" t="n">
        <v>560</v>
      </c>
      <c r="D347" t="n">
        <v>785</v>
      </c>
      <c r="E347" t="n">
        <v>505</v>
      </c>
      <c r="F347" t="n">
        <v>555</v>
      </c>
      <c r="G347" t="n">
        <v>595</v>
      </c>
      <c r="H347" t="n">
        <v>760</v>
      </c>
      <c r="I347" t="n">
        <v>1890</v>
      </c>
      <c r="J347" t="n">
        <v>2575</v>
      </c>
      <c r="K347" t="n">
        <v>1155</v>
      </c>
      <c r="L347" t="n">
        <v>1105</v>
      </c>
      <c r="M347" t="n">
        <v>1530</v>
      </c>
      <c r="N347" s="6" t="n">
        <v>12020</v>
      </c>
      <c r="O347">
        <f>SUM(C347:H347)</f>
        <v/>
      </c>
      <c r="P347">
        <f>I347</f>
        <v/>
      </c>
      <c r="Q347">
        <f>J347</f>
        <v/>
      </c>
      <c r="R347">
        <f>SUM(K347:M347)</f>
        <v/>
      </c>
      <c r="S347">
        <f>SUM(O347:R347)</f>
        <v/>
      </c>
      <c r="T347" s="3">
        <f>IF(S347=0,"",O347/S347)</f>
        <v/>
      </c>
      <c r="U347" s="3">
        <f>IF(S347=0,"",P347/S347)</f>
        <v/>
      </c>
      <c r="V347" s="3">
        <f>IF(S347=0,"",Q347/S347)</f>
        <v/>
      </c>
      <c r="W347" s="3">
        <f>IF(S347=0,"",R347/S347)</f>
        <v/>
      </c>
      <c r="X347" s="4">
        <f>IF(S347=0,"",T347*Pesos!$B$2+U347*Pesos!$B$3+V347*Pesos!$B$4+W347*Pesos!$B$5)</f>
        <v/>
      </c>
    </row>
    <row r="348">
      <c r="A348" s="2" t="n">
        <v>347</v>
      </c>
      <c r="B348" t="n">
        <v>8</v>
      </c>
      <c r="C348" t="n">
        <v>645</v>
      </c>
      <c r="D348" t="n">
        <v>455</v>
      </c>
      <c r="E348" t="n">
        <v>660</v>
      </c>
      <c r="F348" t="n">
        <v>450</v>
      </c>
      <c r="G348" t="n">
        <v>400</v>
      </c>
      <c r="H348" t="n">
        <v>555</v>
      </c>
      <c r="I348" t="n">
        <v>1215</v>
      </c>
      <c r="J348" t="n">
        <v>1940</v>
      </c>
      <c r="K348" t="n">
        <v>1020</v>
      </c>
      <c r="L348" t="n">
        <v>1365</v>
      </c>
      <c r="M348" t="n">
        <v>1600</v>
      </c>
      <c r="N348" s="6" t="n">
        <v>10305</v>
      </c>
      <c r="O348">
        <f>SUM(C348:H348)</f>
        <v/>
      </c>
      <c r="P348">
        <f>I348</f>
        <v/>
      </c>
      <c r="Q348">
        <f>J348</f>
        <v/>
      </c>
      <c r="R348">
        <f>SUM(K348:M348)</f>
        <v/>
      </c>
      <c r="S348">
        <f>SUM(O348:R348)</f>
        <v/>
      </c>
      <c r="T348" s="3">
        <f>IF(S348=0,"",O348/S348)</f>
        <v/>
      </c>
      <c r="U348" s="3">
        <f>IF(S348=0,"",P348/S348)</f>
        <v/>
      </c>
      <c r="V348" s="3">
        <f>IF(S348=0,"",Q348/S348)</f>
        <v/>
      </c>
      <c r="W348" s="3">
        <f>IF(S348=0,"",R348/S348)</f>
        <v/>
      </c>
      <c r="X348" s="4">
        <f>IF(S348=0,"",T348*Pesos!$B$2+U348*Pesos!$B$3+V348*Pesos!$B$4+W348*Pesos!$B$5)</f>
        <v/>
      </c>
    </row>
    <row r="349">
      <c r="A349" s="2" t="n">
        <v>348</v>
      </c>
      <c r="B349" t="n">
        <v>10</v>
      </c>
      <c r="C349" t="n">
        <v>495</v>
      </c>
      <c r="D349" t="n">
        <v>415</v>
      </c>
      <c r="E349" t="n">
        <v>395</v>
      </c>
      <c r="F349" t="n">
        <v>365</v>
      </c>
      <c r="G349" t="n">
        <v>625</v>
      </c>
      <c r="H349" t="n">
        <v>370</v>
      </c>
      <c r="I349" t="n">
        <v>1465</v>
      </c>
      <c r="J349" t="n">
        <v>2300</v>
      </c>
      <c r="K349" t="n">
        <v>2380</v>
      </c>
      <c r="L349" t="n">
        <v>2080</v>
      </c>
      <c r="M349" t="n">
        <v>1365</v>
      </c>
      <c r="N349" s="6" t="n">
        <v>12255</v>
      </c>
      <c r="O349">
        <f>SUM(C349:H349)</f>
        <v/>
      </c>
      <c r="P349">
        <f>I349</f>
        <v/>
      </c>
      <c r="Q349">
        <f>J349</f>
        <v/>
      </c>
      <c r="R349">
        <f>SUM(K349:M349)</f>
        <v/>
      </c>
      <c r="S349">
        <f>SUM(O349:R349)</f>
        <v/>
      </c>
      <c r="T349" s="3">
        <f>IF(S349=0,"",O349/S349)</f>
        <v/>
      </c>
      <c r="U349" s="3">
        <f>IF(S349=0,"",P349/S349)</f>
        <v/>
      </c>
      <c r="V349" s="3">
        <f>IF(S349=0,"",Q349/S349)</f>
        <v/>
      </c>
      <c r="W349" s="3">
        <f>IF(S349=0,"",R349/S349)</f>
        <v/>
      </c>
      <c r="X349" s="4">
        <f>IF(S349=0,"",T349*Pesos!$B$2+U349*Pesos!$B$3+V349*Pesos!$B$4+W349*Pesos!$B$5)</f>
        <v/>
      </c>
    </row>
    <row r="350">
      <c r="A350" s="2" t="n">
        <v>349</v>
      </c>
      <c r="B350" t="n">
        <v>7</v>
      </c>
      <c r="C350" t="n">
        <v>670</v>
      </c>
      <c r="D350" t="n">
        <v>1090</v>
      </c>
      <c r="E350" t="n">
        <v>230</v>
      </c>
      <c r="F350" t="n">
        <v>705</v>
      </c>
      <c r="G350" t="n">
        <v>335</v>
      </c>
      <c r="H350" t="n">
        <v>180</v>
      </c>
      <c r="I350" t="n">
        <v>1160</v>
      </c>
      <c r="J350" t="n">
        <v>1710</v>
      </c>
      <c r="K350" t="n">
        <v>1950</v>
      </c>
      <c r="L350" t="n">
        <v>1555</v>
      </c>
      <c r="M350" t="n">
        <v>735</v>
      </c>
      <c r="N350" s="6" t="n">
        <v>10325</v>
      </c>
      <c r="O350">
        <f>SUM(C350:H350)</f>
        <v/>
      </c>
      <c r="P350">
        <f>I350</f>
        <v/>
      </c>
      <c r="Q350">
        <f>J350</f>
        <v/>
      </c>
      <c r="R350">
        <f>SUM(K350:M350)</f>
        <v/>
      </c>
      <c r="S350">
        <f>SUM(O350:R350)</f>
        <v/>
      </c>
      <c r="T350" s="3">
        <f>IF(S350=0,"",O350/S350)</f>
        <v/>
      </c>
      <c r="U350" s="3">
        <f>IF(S350=0,"",P350/S350)</f>
        <v/>
      </c>
      <c r="V350" s="3">
        <f>IF(S350=0,"",Q350/S350)</f>
        <v/>
      </c>
      <c r="W350" s="3">
        <f>IF(S350=0,"",R350/S350)</f>
        <v/>
      </c>
      <c r="X350" s="4">
        <f>IF(S350=0,"",T350*Pesos!$B$2+U350*Pesos!$B$3+V350*Pesos!$B$4+W350*Pesos!$B$5)</f>
        <v/>
      </c>
    </row>
    <row r="351">
      <c r="A351" s="2" t="n">
        <v>350</v>
      </c>
      <c r="B351" t="n">
        <v>9</v>
      </c>
      <c r="C351" t="n">
        <v>735</v>
      </c>
      <c r="D351" t="n">
        <v>740</v>
      </c>
      <c r="E351" t="n">
        <v>535</v>
      </c>
      <c r="F351" t="n">
        <v>690</v>
      </c>
      <c r="G351" t="n">
        <v>215</v>
      </c>
      <c r="H351" t="n">
        <v>200</v>
      </c>
      <c r="I351" t="n">
        <v>1340</v>
      </c>
      <c r="J351" t="n">
        <v>1520</v>
      </c>
      <c r="K351" t="n">
        <v>1105</v>
      </c>
      <c r="L351" t="n">
        <v>1825</v>
      </c>
      <c r="M351" t="n">
        <v>1170</v>
      </c>
      <c r="N351" s="6" t="n">
        <v>10075</v>
      </c>
      <c r="O351">
        <f>SUM(C351:H351)</f>
        <v/>
      </c>
      <c r="P351">
        <f>I351</f>
        <v/>
      </c>
      <c r="Q351">
        <f>J351</f>
        <v/>
      </c>
      <c r="R351">
        <f>SUM(K351:M351)</f>
        <v/>
      </c>
      <c r="S351">
        <f>SUM(O351:R351)</f>
        <v/>
      </c>
      <c r="T351" s="3">
        <f>IF(S351=0,"",O351/S351)</f>
        <v/>
      </c>
      <c r="U351" s="3">
        <f>IF(S351=0,"",P351/S351)</f>
        <v/>
      </c>
      <c r="V351" s="3">
        <f>IF(S351=0,"",Q351/S351)</f>
        <v/>
      </c>
      <c r="W351" s="3">
        <f>IF(S351=0,"",R351/S351)</f>
        <v/>
      </c>
      <c r="X351" s="4">
        <f>IF(S351=0,"",T351*Pesos!$B$2+U351*Pesos!$B$3+V351*Pesos!$B$4+W351*Pesos!$B$5)</f>
        <v/>
      </c>
    </row>
    <row r="352">
      <c r="A352" s="2" t="n">
        <v>351</v>
      </c>
      <c r="B352" t="n">
        <v>11</v>
      </c>
      <c r="C352" t="n">
        <v>440</v>
      </c>
      <c r="D352" t="n">
        <v>555</v>
      </c>
      <c r="E352" t="n">
        <v>630</v>
      </c>
      <c r="F352" t="n">
        <v>290</v>
      </c>
      <c r="G352" t="n">
        <v>330</v>
      </c>
      <c r="H352" t="n">
        <v>330</v>
      </c>
      <c r="I352" t="n">
        <v>2020</v>
      </c>
      <c r="J352" t="n">
        <v>4530</v>
      </c>
      <c r="K352" t="n">
        <v>1670</v>
      </c>
      <c r="L352" t="n">
        <v>1970</v>
      </c>
      <c r="M352" t="n">
        <v>1415</v>
      </c>
      <c r="N352" s="6" t="n">
        <v>14170</v>
      </c>
      <c r="O352">
        <f>SUM(C352:H352)</f>
        <v/>
      </c>
      <c r="P352">
        <f>I352</f>
        <v/>
      </c>
      <c r="Q352">
        <f>J352</f>
        <v/>
      </c>
      <c r="R352">
        <f>SUM(K352:M352)</f>
        <v/>
      </c>
      <c r="S352">
        <f>SUM(O352:R352)</f>
        <v/>
      </c>
      <c r="T352" s="3">
        <f>IF(S352=0,"",O352/S352)</f>
        <v/>
      </c>
      <c r="U352" s="3">
        <f>IF(S352=0,"",P352/S352)</f>
        <v/>
      </c>
      <c r="V352" s="3">
        <f>IF(S352=0,"",Q352/S352)</f>
        <v/>
      </c>
      <c r="W352" s="3">
        <f>IF(S352=0,"",R352/S352)</f>
        <v/>
      </c>
      <c r="X352" s="4">
        <f>IF(S352=0,"",T352*Pesos!$B$2+U352*Pesos!$B$3+V352*Pesos!$B$4+W352*Pesos!$B$5)</f>
        <v/>
      </c>
    </row>
    <row r="353">
      <c r="A353" s="2" t="n">
        <v>352</v>
      </c>
      <c r="B353" t="n">
        <v>8</v>
      </c>
      <c r="C353" t="n">
        <v>995</v>
      </c>
      <c r="D353" t="n">
        <v>1570</v>
      </c>
      <c r="E353" t="n">
        <v>1145</v>
      </c>
      <c r="F353" t="n">
        <v>860</v>
      </c>
      <c r="G353" t="n">
        <v>1070</v>
      </c>
      <c r="H353" t="n">
        <v>910</v>
      </c>
      <c r="I353" t="n">
        <v>5400</v>
      </c>
      <c r="J353" t="n">
        <v>3750</v>
      </c>
      <c r="K353" t="n">
        <v>815</v>
      </c>
      <c r="L353" t="n">
        <v>210</v>
      </c>
      <c r="M353" t="n">
        <v>350</v>
      </c>
      <c r="N353" s="6" t="n">
        <v>17075</v>
      </c>
      <c r="O353">
        <f>SUM(C353:H353)</f>
        <v/>
      </c>
      <c r="P353">
        <f>I353</f>
        <v/>
      </c>
      <c r="Q353">
        <f>J353</f>
        <v/>
      </c>
      <c r="R353">
        <f>SUM(K353:M353)</f>
        <v/>
      </c>
      <c r="S353">
        <f>SUM(O353:R353)</f>
        <v/>
      </c>
      <c r="T353" s="3">
        <f>IF(S353=0,"",O353/S353)</f>
        <v/>
      </c>
      <c r="U353" s="3">
        <f>IF(S353=0,"",P353/S353)</f>
        <v/>
      </c>
      <c r="V353" s="3">
        <f>IF(S353=0,"",Q353/S353)</f>
        <v/>
      </c>
      <c r="W353" s="3">
        <f>IF(S353=0,"",R353/S353)</f>
        <v/>
      </c>
      <c r="X353" s="4">
        <f>IF(S353=0,"",T353*Pesos!$B$2+U353*Pesos!$B$3+V353*Pesos!$B$4+W353*Pesos!$B$5)</f>
        <v/>
      </c>
    </row>
    <row r="354">
      <c r="A354" s="2" t="n">
        <v>353</v>
      </c>
      <c r="B354" t="n">
        <v>8</v>
      </c>
      <c r="C354" t="n">
        <v>1375</v>
      </c>
      <c r="D354" t="n">
        <v>2470</v>
      </c>
      <c r="E354" t="n">
        <v>2170</v>
      </c>
      <c r="F354" t="n">
        <v>1950</v>
      </c>
      <c r="G354" t="n">
        <v>2875</v>
      </c>
      <c r="H354" t="n">
        <v>2165</v>
      </c>
      <c r="I354" t="n">
        <v>4455</v>
      </c>
      <c r="J354" t="n">
        <v>675</v>
      </c>
      <c r="K354" t="n">
        <v>535</v>
      </c>
      <c r="L354" t="n">
        <v>450</v>
      </c>
      <c r="M354" s="7" t="n">
        <v>40</v>
      </c>
      <c r="N354" s="6" t="n">
        <v>19160</v>
      </c>
      <c r="O354">
        <f>SUM(C354:H354)</f>
        <v/>
      </c>
      <c r="P354">
        <f>I354</f>
        <v/>
      </c>
      <c r="Q354">
        <f>J354</f>
        <v/>
      </c>
      <c r="R354">
        <f>SUM(K354:M354)</f>
        <v/>
      </c>
      <c r="S354">
        <f>SUM(O354:R354)</f>
        <v/>
      </c>
      <c r="T354" s="3">
        <f>IF(S354=0,"",O354/S354)</f>
        <v/>
      </c>
      <c r="U354" s="3">
        <f>IF(S354=0,"",P354/S354)</f>
        <v/>
      </c>
      <c r="V354" s="3">
        <f>IF(S354=0,"",Q354/S354)</f>
        <v/>
      </c>
      <c r="W354" s="3">
        <f>IF(S354=0,"",R354/S354)</f>
        <v/>
      </c>
      <c r="X354" s="4">
        <f>IF(S354=0,"",T354*Pesos!$B$2+U354*Pesos!$B$3+V354*Pesos!$B$4+W354*Pesos!$B$5)</f>
        <v/>
      </c>
    </row>
    <row r="355">
      <c r="A355" s="2" t="n">
        <v>354</v>
      </c>
      <c r="B355" t="n">
        <v>8</v>
      </c>
      <c r="C355" t="n">
        <v>790</v>
      </c>
      <c r="D355" t="n">
        <v>1110</v>
      </c>
      <c r="E355" t="n">
        <v>1840</v>
      </c>
      <c r="F355" t="n">
        <v>1290</v>
      </c>
      <c r="G355" t="n">
        <v>1410</v>
      </c>
      <c r="H355" t="n">
        <v>2795</v>
      </c>
      <c r="I355" t="n">
        <v>3385</v>
      </c>
      <c r="J355" t="n">
        <v>635</v>
      </c>
      <c r="K355" t="n">
        <v>635</v>
      </c>
      <c r="L355" t="n">
        <v>390</v>
      </c>
      <c r="M355" s="7" t="n">
        <v>35</v>
      </c>
      <c r="N355" s="6" t="n">
        <v>14315</v>
      </c>
      <c r="O355">
        <f>SUM(C355:H355)</f>
        <v/>
      </c>
      <c r="P355">
        <f>I355</f>
        <v/>
      </c>
      <c r="Q355">
        <f>J355</f>
        <v/>
      </c>
      <c r="R355">
        <f>SUM(K355:M355)</f>
        <v/>
      </c>
      <c r="S355">
        <f>SUM(O355:R355)</f>
        <v/>
      </c>
      <c r="T355" s="3">
        <f>IF(S355=0,"",O355/S355)</f>
        <v/>
      </c>
      <c r="U355" s="3">
        <f>IF(S355=0,"",P355/S355)</f>
        <v/>
      </c>
      <c r="V355" s="3">
        <f>IF(S355=0,"",Q355/S355)</f>
        <v/>
      </c>
      <c r="W355" s="3">
        <f>IF(S355=0,"",R355/S355)</f>
        <v/>
      </c>
      <c r="X355" s="4">
        <f>IF(S355=0,"",T355*Pesos!$B$2+U355*Pesos!$B$3+V355*Pesos!$B$4+W355*Pesos!$B$5)</f>
        <v/>
      </c>
    </row>
    <row r="356">
      <c r="A356" s="2" t="n">
        <v>355</v>
      </c>
      <c r="B356" t="n">
        <v>12</v>
      </c>
      <c r="C356" t="n">
        <v>775</v>
      </c>
      <c r="D356" t="n">
        <v>675</v>
      </c>
      <c r="E356" t="n">
        <v>475</v>
      </c>
      <c r="F356" t="n">
        <v>690</v>
      </c>
      <c r="G356" t="n">
        <v>845</v>
      </c>
      <c r="H356" t="n">
        <v>755</v>
      </c>
      <c r="I356" t="n">
        <v>2580</v>
      </c>
      <c r="J356" t="n">
        <v>2390</v>
      </c>
      <c r="K356" t="n">
        <v>1195</v>
      </c>
      <c r="L356" t="n">
        <v>1335</v>
      </c>
      <c r="M356" t="n">
        <v>1975</v>
      </c>
      <c r="N356" s="6" t="n">
        <v>13685</v>
      </c>
      <c r="O356">
        <f>SUM(C356:H356)</f>
        <v/>
      </c>
      <c r="P356">
        <f>I356</f>
        <v/>
      </c>
      <c r="Q356">
        <f>J356</f>
        <v/>
      </c>
      <c r="R356">
        <f>SUM(K356:M356)</f>
        <v/>
      </c>
      <c r="S356">
        <f>SUM(O356:R356)</f>
        <v/>
      </c>
      <c r="T356" s="3">
        <f>IF(S356=0,"",O356/S356)</f>
        <v/>
      </c>
      <c r="U356" s="3">
        <f>IF(S356=0,"",P356/S356)</f>
        <v/>
      </c>
      <c r="V356" s="3">
        <f>IF(S356=0,"",Q356/S356)</f>
        <v/>
      </c>
      <c r="W356" s="3">
        <f>IF(S356=0,"",R356/S356)</f>
        <v/>
      </c>
      <c r="X356" s="4">
        <f>IF(S356=0,"",T356*Pesos!$B$2+U356*Pesos!$B$3+V356*Pesos!$B$4+W356*Pesos!$B$5)</f>
        <v/>
      </c>
    </row>
    <row r="357">
      <c r="A357" s="2" t="n">
        <v>356</v>
      </c>
      <c r="B357" t="n">
        <v>11</v>
      </c>
      <c r="C357" t="n">
        <v>655</v>
      </c>
      <c r="D357" t="n">
        <v>1120</v>
      </c>
      <c r="E357" t="n">
        <v>945</v>
      </c>
      <c r="F357" t="n">
        <v>705</v>
      </c>
      <c r="G357" t="n">
        <v>690</v>
      </c>
      <c r="H357" t="n">
        <v>735</v>
      </c>
      <c r="I357" t="n">
        <v>2330</v>
      </c>
      <c r="J357" t="n">
        <v>2570</v>
      </c>
      <c r="K357" t="n">
        <v>2240</v>
      </c>
      <c r="L357" t="n">
        <v>1035</v>
      </c>
      <c r="M357" t="n">
        <v>1210</v>
      </c>
      <c r="N357" s="6" t="n">
        <v>14230</v>
      </c>
      <c r="O357">
        <f>SUM(C357:H357)</f>
        <v/>
      </c>
      <c r="P357">
        <f>I357</f>
        <v/>
      </c>
      <c r="Q357">
        <f>J357</f>
        <v/>
      </c>
      <c r="R357">
        <f>SUM(K357:M357)</f>
        <v/>
      </c>
      <c r="S357">
        <f>SUM(O357:R357)</f>
        <v/>
      </c>
      <c r="T357" s="3">
        <f>IF(S357=0,"",O357/S357)</f>
        <v/>
      </c>
      <c r="U357" s="3">
        <f>IF(S357=0,"",P357/S357)</f>
        <v/>
      </c>
      <c r="V357" s="3">
        <f>IF(S357=0,"",Q357/S357)</f>
        <v/>
      </c>
      <c r="W357" s="3">
        <f>IF(S357=0,"",R357/S357)</f>
        <v/>
      </c>
      <c r="X357" s="4">
        <f>IF(S357=0,"",T357*Pesos!$B$2+U357*Pesos!$B$3+V357*Pesos!$B$4+W357*Pesos!$B$5)</f>
        <v/>
      </c>
    </row>
    <row r="358">
      <c r="A358" s="2" t="n">
        <v>357</v>
      </c>
      <c r="B358" t="n">
        <v>10</v>
      </c>
      <c r="C358" t="n">
        <v>200</v>
      </c>
      <c r="D358" t="n">
        <v>860</v>
      </c>
      <c r="E358" t="n">
        <v>345</v>
      </c>
      <c r="F358" t="n">
        <v>300</v>
      </c>
      <c r="G358" t="n">
        <v>320</v>
      </c>
      <c r="H358" t="n">
        <v>220</v>
      </c>
      <c r="I358" t="n">
        <v>1650</v>
      </c>
      <c r="J358" t="n">
        <v>2825</v>
      </c>
      <c r="K358" t="n">
        <v>1480</v>
      </c>
      <c r="L358" t="n">
        <v>940</v>
      </c>
      <c r="M358" t="n">
        <v>895</v>
      </c>
      <c r="N358" s="6" t="n">
        <v>10035</v>
      </c>
      <c r="O358">
        <f>SUM(C358:H358)</f>
        <v/>
      </c>
      <c r="P358">
        <f>I358</f>
        <v/>
      </c>
      <c r="Q358">
        <f>J358</f>
        <v/>
      </c>
      <c r="R358">
        <f>SUM(K358:M358)</f>
        <v/>
      </c>
      <c r="S358">
        <f>SUM(O358:R358)</f>
        <v/>
      </c>
      <c r="T358" s="3">
        <f>IF(S358=0,"",O358/S358)</f>
        <v/>
      </c>
      <c r="U358" s="3">
        <f>IF(S358=0,"",P358/S358)</f>
        <v/>
      </c>
      <c r="V358" s="3">
        <f>IF(S358=0,"",Q358/S358)</f>
        <v/>
      </c>
      <c r="W358" s="3">
        <f>IF(S358=0,"",R358/S358)</f>
        <v/>
      </c>
      <c r="X358" s="4">
        <f>IF(S358=0,"",T358*Pesos!$B$2+U358*Pesos!$B$3+V358*Pesos!$B$4+W358*Pesos!$B$5)</f>
        <v/>
      </c>
    </row>
    <row r="359">
      <c r="A359" s="2" t="n">
        <v>358</v>
      </c>
      <c r="B359" t="n">
        <v>11</v>
      </c>
      <c r="C359" t="n">
        <v>920</v>
      </c>
      <c r="D359" t="n">
        <v>1050</v>
      </c>
      <c r="E359" t="n">
        <v>1555</v>
      </c>
      <c r="F359" t="n">
        <v>620</v>
      </c>
      <c r="G359" t="n">
        <v>725</v>
      </c>
      <c r="H359" t="n">
        <v>860</v>
      </c>
      <c r="I359" t="n">
        <v>3010</v>
      </c>
      <c r="J359" t="n">
        <v>1890</v>
      </c>
      <c r="K359" t="n">
        <v>1190</v>
      </c>
      <c r="L359" t="n">
        <v>495</v>
      </c>
      <c r="M359" t="n">
        <v>2475</v>
      </c>
      <c r="N359" s="6" t="n">
        <v>14790</v>
      </c>
      <c r="O359">
        <f>SUM(C359:H359)</f>
        <v/>
      </c>
      <c r="P359">
        <f>I359</f>
        <v/>
      </c>
      <c r="Q359">
        <f>J359</f>
        <v/>
      </c>
      <c r="R359">
        <f>SUM(K359:M359)</f>
        <v/>
      </c>
      <c r="S359">
        <f>SUM(O359:R359)</f>
        <v/>
      </c>
      <c r="T359" s="3">
        <f>IF(S359=0,"",O359/S359)</f>
        <v/>
      </c>
      <c r="U359" s="3">
        <f>IF(S359=0,"",P359/S359)</f>
        <v/>
      </c>
      <c r="V359" s="3">
        <f>IF(S359=0,"",Q359/S359)</f>
        <v/>
      </c>
      <c r="W359" s="3">
        <f>IF(S359=0,"",R359/S359)</f>
        <v/>
      </c>
      <c r="X359" s="4">
        <f>IF(S359=0,"",T359*Pesos!$B$2+U359*Pesos!$B$3+V359*Pesos!$B$4+W359*Pesos!$B$5)</f>
        <v/>
      </c>
    </row>
    <row r="360">
      <c r="A360" s="2" t="n">
        <v>359</v>
      </c>
      <c r="B360" t="n">
        <v>9</v>
      </c>
      <c r="C360" t="n">
        <v>1780</v>
      </c>
      <c r="D360" t="n">
        <v>1755</v>
      </c>
      <c r="E360" t="n">
        <v>1450</v>
      </c>
      <c r="F360" t="n">
        <v>1090</v>
      </c>
      <c r="G360" t="n">
        <v>1970</v>
      </c>
      <c r="H360" t="n">
        <v>1835</v>
      </c>
      <c r="I360" t="n">
        <v>9725</v>
      </c>
      <c r="J360" t="n">
        <v>1875</v>
      </c>
      <c r="K360" t="n">
        <v>1180</v>
      </c>
      <c r="L360" t="n">
        <v>1160</v>
      </c>
      <c r="M360" t="n">
        <v>420</v>
      </c>
      <c r="N360" s="6" t="n">
        <v>24245</v>
      </c>
      <c r="O360">
        <f>SUM(C360:H360)</f>
        <v/>
      </c>
      <c r="P360">
        <f>I360</f>
        <v/>
      </c>
      <c r="Q360">
        <f>J360</f>
        <v/>
      </c>
      <c r="R360">
        <f>SUM(K360:M360)</f>
        <v/>
      </c>
      <c r="S360">
        <f>SUM(O360:R360)</f>
        <v/>
      </c>
      <c r="T360" s="3">
        <f>IF(S360=0,"",O360/S360)</f>
        <v/>
      </c>
      <c r="U360" s="3">
        <f>IF(S360=0,"",P360/S360)</f>
        <v/>
      </c>
      <c r="V360" s="3">
        <f>IF(S360=0,"",Q360/S360)</f>
        <v/>
      </c>
      <c r="W360" s="3">
        <f>IF(S360=0,"",R360/S360)</f>
        <v/>
      </c>
      <c r="X360" s="4">
        <f>IF(S360=0,"",T360*Pesos!$B$2+U360*Pesos!$B$3+V360*Pesos!$B$4+W360*Pesos!$B$5)</f>
        <v/>
      </c>
    </row>
    <row r="361">
      <c r="A361" s="2" t="n">
        <v>360</v>
      </c>
      <c r="B361" t="n">
        <v>7</v>
      </c>
      <c r="C361" t="n">
        <v>770</v>
      </c>
      <c r="D361" t="n">
        <v>755</v>
      </c>
      <c r="E361" t="n">
        <v>485</v>
      </c>
      <c r="F361" t="n">
        <v>360</v>
      </c>
      <c r="G361" t="n">
        <v>390</v>
      </c>
      <c r="H361" t="n">
        <v>420</v>
      </c>
      <c r="I361" t="n">
        <v>1565</v>
      </c>
      <c r="J361" t="n">
        <v>1480</v>
      </c>
      <c r="K361" t="n">
        <v>1295</v>
      </c>
      <c r="L361" t="n">
        <v>1485</v>
      </c>
      <c r="M361" t="n">
        <v>705</v>
      </c>
      <c r="N361" s="6" t="n">
        <v>9710</v>
      </c>
      <c r="O361">
        <f>SUM(C361:H361)</f>
        <v/>
      </c>
      <c r="P361">
        <f>I361</f>
        <v/>
      </c>
      <c r="Q361">
        <f>J361</f>
        <v/>
      </c>
      <c r="R361">
        <f>SUM(K361:M361)</f>
        <v/>
      </c>
      <c r="S361">
        <f>SUM(O361:R361)</f>
        <v/>
      </c>
      <c r="T361" s="3">
        <f>IF(S361=0,"",O361/S361)</f>
        <v/>
      </c>
      <c r="U361" s="3">
        <f>IF(S361=0,"",P361/S361)</f>
        <v/>
      </c>
      <c r="V361" s="3">
        <f>IF(S361=0,"",Q361/S361)</f>
        <v/>
      </c>
      <c r="W361" s="3">
        <f>IF(S361=0,"",R361/S361)</f>
        <v/>
      </c>
      <c r="X361" s="4">
        <f>IF(S361=0,"",T361*Pesos!$B$2+U361*Pesos!$B$3+V361*Pesos!$B$4+W361*Pesos!$B$5)</f>
        <v/>
      </c>
    </row>
    <row r="362">
      <c r="A362" s="2" t="n">
        <v>361</v>
      </c>
      <c r="B362" t="n">
        <v>12</v>
      </c>
      <c r="C362" t="n">
        <v>840</v>
      </c>
      <c r="D362" t="n">
        <v>1195</v>
      </c>
      <c r="E362" t="n">
        <v>740</v>
      </c>
      <c r="F362" t="n">
        <v>560</v>
      </c>
      <c r="G362" t="n">
        <v>520</v>
      </c>
      <c r="H362" t="n">
        <v>545</v>
      </c>
      <c r="I362" t="n">
        <v>4080</v>
      </c>
      <c r="J362" t="n">
        <v>3060</v>
      </c>
      <c r="K362" t="n">
        <v>1430</v>
      </c>
      <c r="L362" t="n">
        <v>1985</v>
      </c>
      <c r="M362" t="n">
        <v>1755</v>
      </c>
      <c r="N362" s="6" t="n">
        <v>16705</v>
      </c>
      <c r="O362">
        <f>SUM(C362:H362)</f>
        <v/>
      </c>
      <c r="P362">
        <f>I362</f>
        <v/>
      </c>
      <c r="Q362">
        <f>J362</f>
        <v/>
      </c>
      <c r="R362">
        <f>SUM(K362:M362)</f>
        <v/>
      </c>
      <c r="S362">
        <f>SUM(O362:R362)</f>
        <v/>
      </c>
      <c r="T362" s="3">
        <f>IF(S362=0,"",O362/S362)</f>
        <v/>
      </c>
      <c r="U362" s="3">
        <f>IF(S362=0,"",P362/S362)</f>
        <v/>
      </c>
      <c r="V362" s="3">
        <f>IF(S362=0,"",Q362/S362)</f>
        <v/>
      </c>
      <c r="W362" s="3">
        <f>IF(S362=0,"",R362/S362)</f>
        <v/>
      </c>
      <c r="X362" s="4">
        <f>IF(S362=0,"",T362*Pesos!$B$2+U362*Pesos!$B$3+V362*Pesos!$B$4+W362*Pesos!$B$5)</f>
        <v/>
      </c>
    </row>
    <row r="363">
      <c r="A363" s="2" t="n">
        <v>362</v>
      </c>
      <c r="B363" t="n">
        <v>8</v>
      </c>
      <c r="C363" t="n">
        <v>520</v>
      </c>
      <c r="D363" t="n">
        <v>815</v>
      </c>
      <c r="E363" t="n">
        <v>595</v>
      </c>
      <c r="F363" t="n">
        <v>610</v>
      </c>
      <c r="G363" t="n">
        <v>465</v>
      </c>
      <c r="H363" t="n">
        <v>585</v>
      </c>
      <c r="I363" t="n">
        <v>1160</v>
      </c>
      <c r="J363" t="n">
        <v>2230</v>
      </c>
      <c r="K363" t="n">
        <v>2450</v>
      </c>
      <c r="L363" t="n">
        <v>1355</v>
      </c>
      <c r="M363" t="n">
        <v>1135</v>
      </c>
      <c r="N363" s="6" t="n">
        <v>11925</v>
      </c>
      <c r="O363">
        <f>SUM(C363:H363)</f>
        <v/>
      </c>
      <c r="P363">
        <f>I363</f>
        <v/>
      </c>
      <c r="Q363">
        <f>J363</f>
        <v/>
      </c>
      <c r="R363">
        <f>SUM(K363:M363)</f>
        <v/>
      </c>
      <c r="S363">
        <f>SUM(O363:R363)</f>
        <v/>
      </c>
      <c r="T363" s="3">
        <f>IF(S363=0,"",O363/S363)</f>
        <v/>
      </c>
      <c r="U363" s="3">
        <f>IF(S363=0,"",P363/S363)</f>
        <v/>
      </c>
      <c r="V363" s="3">
        <f>IF(S363=0,"",Q363/S363)</f>
        <v/>
      </c>
      <c r="W363" s="3">
        <f>IF(S363=0,"",R363/S363)</f>
        <v/>
      </c>
      <c r="X363" s="4">
        <f>IF(S363=0,"",T363*Pesos!$B$2+U363*Pesos!$B$3+V363*Pesos!$B$4+W363*Pesos!$B$5)</f>
        <v/>
      </c>
    </row>
    <row r="364">
      <c r="A364" s="2" t="n">
        <v>363</v>
      </c>
      <c r="B364" t="n">
        <v>10</v>
      </c>
      <c r="C364" t="n">
        <v>465</v>
      </c>
      <c r="D364" t="n">
        <v>390</v>
      </c>
      <c r="E364" t="n">
        <v>720</v>
      </c>
      <c r="F364" t="n">
        <v>160</v>
      </c>
      <c r="G364" t="n">
        <v>350</v>
      </c>
      <c r="H364" t="n">
        <v>495</v>
      </c>
      <c r="I364" t="n">
        <v>1385</v>
      </c>
      <c r="J364" t="n">
        <v>1460</v>
      </c>
      <c r="K364" t="n">
        <v>1090</v>
      </c>
      <c r="L364" t="n">
        <v>2065</v>
      </c>
      <c r="M364" t="n">
        <v>2865</v>
      </c>
      <c r="N364" s="6" t="n">
        <v>11440</v>
      </c>
      <c r="O364">
        <f>SUM(C364:H364)</f>
        <v/>
      </c>
      <c r="P364">
        <f>I364</f>
        <v/>
      </c>
      <c r="Q364">
        <f>J364</f>
        <v/>
      </c>
      <c r="R364">
        <f>SUM(K364:M364)</f>
        <v/>
      </c>
      <c r="S364">
        <f>SUM(O364:R364)</f>
        <v/>
      </c>
      <c r="T364" s="3">
        <f>IF(S364=0,"",O364/S364)</f>
        <v/>
      </c>
      <c r="U364" s="3">
        <f>IF(S364=0,"",P364/S364)</f>
        <v/>
      </c>
      <c r="V364" s="3">
        <f>IF(S364=0,"",Q364/S364)</f>
        <v/>
      </c>
      <c r="W364" s="3">
        <f>IF(S364=0,"",R364/S364)</f>
        <v/>
      </c>
      <c r="X364" s="4">
        <f>IF(S364=0,"",T364*Pesos!$B$2+U364*Pesos!$B$3+V364*Pesos!$B$4+W364*Pesos!$B$5)</f>
        <v/>
      </c>
    </row>
    <row r="365">
      <c r="A365" s="2" t="n">
        <v>364</v>
      </c>
      <c r="B365" t="n">
        <v>8</v>
      </c>
      <c r="C365" t="n">
        <v>340</v>
      </c>
      <c r="D365" t="n">
        <v>245</v>
      </c>
      <c r="E365" t="n">
        <v>205</v>
      </c>
      <c r="F365" t="n">
        <v>155</v>
      </c>
      <c r="G365" t="n">
        <v>515</v>
      </c>
      <c r="H365" t="n">
        <v>450</v>
      </c>
      <c r="I365" t="n">
        <v>1135</v>
      </c>
      <c r="J365" t="n">
        <v>1270</v>
      </c>
      <c r="K365" t="n">
        <v>1375</v>
      </c>
      <c r="L365" t="n">
        <v>1695</v>
      </c>
      <c r="M365" t="n">
        <v>860</v>
      </c>
      <c r="N365" s="6" t="n">
        <v>8235</v>
      </c>
      <c r="O365">
        <f>SUM(C365:H365)</f>
        <v/>
      </c>
      <c r="P365">
        <f>I365</f>
        <v/>
      </c>
      <c r="Q365">
        <f>J365</f>
        <v/>
      </c>
      <c r="R365">
        <f>SUM(K365:M365)</f>
        <v/>
      </c>
      <c r="S365">
        <f>SUM(O365:R365)</f>
        <v/>
      </c>
      <c r="T365" s="3">
        <f>IF(S365=0,"",O365/S365)</f>
        <v/>
      </c>
      <c r="U365" s="3">
        <f>IF(S365=0,"",P365/S365)</f>
        <v/>
      </c>
      <c r="V365" s="3">
        <f>IF(S365=0,"",Q365/S365)</f>
        <v/>
      </c>
      <c r="W365" s="3">
        <f>IF(S365=0,"",R365/S365)</f>
        <v/>
      </c>
      <c r="X365" s="4">
        <f>IF(S365=0,"",T365*Pesos!$B$2+U365*Pesos!$B$3+V365*Pesos!$B$4+W365*Pesos!$B$5)</f>
        <v/>
      </c>
    </row>
    <row r="366">
      <c r="A366" s="2" t="n">
        <v>365</v>
      </c>
      <c r="B366" t="n">
        <v>12</v>
      </c>
      <c r="C366" t="n">
        <v>560</v>
      </c>
      <c r="D366" t="n">
        <v>725</v>
      </c>
      <c r="E366" t="n">
        <v>730</v>
      </c>
      <c r="F366" t="n">
        <v>300</v>
      </c>
      <c r="G366" t="n">
        <v>580</v>
      </c>
      <c r="H366" t="n">
        <v>280</v>
      </c>
      <c r="I366" t="n">
        <v>2260</v>
      </c>
      <c r="J366" t="n">
        <v>1740</v>
      </c>
      <c r="K366" t="n">
        <v>1725</v>
      </c>
      <c r="L366" t="n">
        <v>1895</v>
      </c>
      <c r="M366" t="n">
        <v>940</v>
      </c>
      <c r="N366" s="6" t="n">
        <v>11735</v>
      </c>
      <c r="O366">
        <f>SUM(C366:H366)</f>
        <v/>
      </c>
      <c r="P366">
        <f>I366</f>
        <v/>
      </c>
      <c r="Q366">
        <f>J366</f>
        <v/>
      </c>
      <c r="R366">
        <f>SUM(K366:M366)</f>
        <v/>
      </c>
      <c r="S366">
        <f>SUM(O366:R366)</f>
        <v/>
      </c>
      <c r="T366" s="3">
        <f>IF(S366=0,"",O366/S366)</f>
        <v/>
      </c>
      <c r="U366" s="3">
        <f>IF(S366=0,"",P366/S366)</f>
        <v/>
      </c>
      <c r="V366" s="3">
        <f>IF(S366=0,"",Q366/S366)</f>
        <v/>
      </c>
      <c r="W366" s="3">
        <f>IF(S366=0,"",R366/S366)</f>
        <v/>
      </c>
      <c r="X366" s="4">
        <f>IF(S366=0,"",T366*Pesos!$B$2+U366*Pesos!$B$3+V366*Pesos!$B$4+W366*Pesos!$B$5)</f>
        <v/>
      </c>
    </row>
    <row r="367">
      <c r="A367" s="2" t="n">
        <v>366</v>
      </c>
      <c r="B367" t="n">
        <v>10</v>
      </c>
      <c r="C367" t="n">
        <v>310</v>
      </c>
      <c r="D367" t="n">
        <v>920</v>
      </c>
      <c r="E367" t="n">
        <v>775</v>
      </c>
      <c r="F367" t="n">
        <v>365</v>
      </c>
      <c r="G367" t="n">
        <v>465</v>
      </c>
      <c r="H367" t="n">
        <v>310</v>
      </c>
      <c r="I367" t="n">
        <v>1425</v>
      </c>
      <c r="J367" t="n">
        <v>3835</v>
      </c>
      <c r="K367" t="n">
        <v>4505</v>
      </c>
      <c r="L367" t="n">
        <v>670</v>
      </c>
      <c r="M367" t="n">
        <v>675</v>
      </c>
      <c r="N367" s="6" t="n">
        <v>14260</v>
      </c>
      <c r="O367">
        <f>SUM(C367:H367)</f>
        <v/>
      </c>
      <c r="P367">
        <f>I367</f>
        <v/>
      </c>
      <c r="Q367">
        <f>J367</f>
        <v/>
      </c>
      <c r="R367">
        <f>SUM(K367:M367)</f>
        <v/>
      </c>
      <c r="S367">
        <f>SUM(O367:R367)</f>
        <v/>
      </c>
      <c r="T367" s="3">
        <f>IF(S367=0,"",O367/S367)</f>
        <v/>
      </c>
      <c r="U367" s="3">
        <f>IF(S367=0,"",P367/S367)</f>
        <v/>
      </c>
      <c r="V367" s="3">
        <f>IF(S367=0,"",Q367/S367)</f>
        <v/>
      </c>
      <c r="W367" s="3">
        <f>IF(S367=0,"",R367/S367)</f>
        <v/>
      </c>
      <c r="X367" s="4">
        <f>IF(S367=0,"",T367*Pesos!$B$2+U367*Pesos!$B$3+V367*Pesos!$B$4+W367*Pesos!$B$5)</f>
        <v/>
      </c>
    </row>
    <row r="368">
      <c r="A368" s="2" t="n">
        <v>367</v>
      </c>
      <c r="B368" t="n">
        <v>11</v>
      </c>
      <c r="C368" t="n">
        <v>650</v>
      </c>
      <c r="D368" t="n">
        <v>790</v>
      </c>
      <c r="E368" t="n">
        <v>815</v>
      </c>
      <c r="F368" t="n">
        <v>360</v>
      </c>
      <c r="G368" t="n">
        <v>430</v>
      </c>
      <c r="H368" t="n">
        <v>610</v>
      </c>
      <c r="I368" t="n">
        <v>3020</v>
      </c>
      <c r="J368" t="n">
        <v>2170</v>
      </c>
      <c r="K368" t="n">
        <v>1235</v>
      </c>
      <c r="L368" t="n">
        <v>1985</v>
      </c>
      <c r="M368" t="n">
        <v>1300</v>
      </c>
      <c r="N368" s="6" t="n">
        <v>13365</v>
      </c>
      <c r="O368">
        <f>SUM(C368:H368)</f>
        <v/>
      </c>
      <c r="P368">
        <f>I368</f>
        <v/>
      </c>
      <c r="Q368">
        <f>J368</f>
        <v/>
      </c>
      <c r="R368">
        <f>SUM(K368:M368)</f>
        <v/>
      </c>
      <c r="S368">
        <f>SUM(O368:R368)</f>
        <v/>
      </c>
      <c r="T368" s="3">
        <f>IF(S368=0,"",O368/S368)</f>
        <v/>
      </c>
      <c r="U368" s="3">
        <f>IF(S368=0,"",P368/S368)</f>
        <v/>
      </c>
      <c r="V368" s="3">
        <f>IF(S368=0,"",Q368/S368)</f>
        <v/>
      </c>
      <c r="W368" s="3">
        <f>IF(S368=0,"",R368/S368)</f>
        <v/>
      </c>
      <c r="X368" s="4">
        <f>IF(S368=0,"",T368*Pesos!$B$2+U368*Pesos!$B$3+V368*Pesos!$B$4+W368*Pesos!$B$5)</f>
        <v/>
      </c>
    </row>
    <row r="369">
      <c r="A369" s="2" t="n">
        <v>368</v>
      </c>
      <c r="B369" t="n">
        <v>9</v>
      </c>
      <c r="C369" t="n">
        <v>295</v>
      </c>
      <c r="D369" t="n">
        <v>280</v>
      </c>
      <c r="E369" t="n">
        <v>575</v>
      </c>
      <c r="F369" t="n">
        <v>250</v>
      </c>
      <c r="G369" t="n">
        <v>140</v>
      </c>
      <c r="H369" t="n">
        <v>350</v>
      </c>
      <c r="I369" t="n">
        <v>1240</v>
      </c>
      <c r="J369" t="n">
        <v>2600</v>
      </c>
      <c r="K369" t="n">
        <v>2765</v>
      </c>
      <c r="L369" t="n">
        <v>2325</v>
      </c>
      <c r="M369" t="n">
        <v>105</v>
      </c>
      <c r="N369" s="6" t="n">
        <v>10925</v>
      </c>
      <c r="O369">
        <f>SUM(C369:H369)</f>
        <v/>
      </c>
      <c r="P369">
        <f>I369</f>
        <v/>
      </c>
      <c r="Q369">
        <f>J369</f>
        <v/>
      </c>
      <c r="R369">
        <f>SUM(K369:M369)</f>
        <v/>
      </c>
      <c r="S369">
        <f>SUM(O369:R369)</f>
        <v/>
      </c>
      <c r="T369" s="3">
        <f>IF(S369=0,"",O369/S369)</f>
        <v/>
      </c>
      <c r="U369" s="3">
        <f>IF(S369=0,"",P369/S369)</f>
        <v/>
      </c>
      <c r="V369" s="3">
        <f>IF(S369=0,"",Q369/S369)</f>
        <v/>
      </c>
      <c r="W369" s="3">
        <f>IF(S369=0,"",R369/S369)</f>
        <v/>
      </c>
      <c r="X369" s="4">
        <f>IF(S369=0,"",T369*Pesos!$B$2+U369*Pesos!$B$3+V369*Pesos!$B$4+W369*Pesos!$B$5)</f>
        <v/>
      </c>
    </row>
    <row r="370">
      <c r="A370" s="2" t="n">
        <v>369</v>
      </c>
      <c r="B370" t="n">
        <v>8</v>
      </c>
      <c r="C370" t="n">
        <v>1495</v>
      </c>
      <c r="D370" t="n">
        <v>3640</v>
      </c>
      <c r="E370" t="n">
        <v>4130</v>
      </c>
      <c r="F370" t="n">
        <v>4345</v>
      </c>
      <c r="G370" t="n">
        <v>3815</v>
      </c>
      <c r="H370" t="n">
        <v>1835</v>
      </c>
      <c r="I370" t="n">
        <v>2160</v>
      </c>
      <c r="J370" t="n">
        <v>1395</v>
      </c>
      <c r="K370" t="n">
        <v>365</v>
      </c>
      <c r="L370" t="n">
        <v>125</v>
      </c>
      <c r="M370" t="n">
        <v>140</v>
      </c>
      <c r="N370" s="6" t="n">
        <v>23445</v>
      </c>
      <c r="O370">
        <f>SUM(C370:H370)</f>
        <v/>
      </c>
      <c r="P370">
        <f>I370</f>
        <v/>
      </c>
      <c r="Q370">
        <f>J370</f>
        <v/>
      </c>
      <c r="R370">
        <f>SUM(K370:M370)</f>
        <v/>
      </c>
      <c r="S370">
        <f>SUM(O370:R370)</f>
        <v/>
      </c>
      <c r="T370" s="3">
        <f>IF(S370=0,"",O370/S370)</f>
        <v/>
      </c>
      <c r="U370" s="3">
        <f>IF(S370=0,"",P370/S370)</f>
        <v/>
      </c>
      <c r="V370" s="3">
        <f>IF(S370=0,"",Q370/S370)</f>
        <v/>
      </c>
      <c r="W370" s="3">
        <f>IF(S370=0,"",R370/S370)</f>
        <v/>
      </c>
      <c r="X370" s="4">
        <f>IF(S370=0,"",T370*Pesos!$B$2+U370*Pesos!$B$3+V370*Pesos!$B$4+W370*Pesos!$B$5)</f>
        <v/>
      </c>
    </row>
    <row r="371">
      <c r="A371" s="2" t="n">
        <v>370</v>
      </c>
      <c r="B371" t="n">
        <v>8</v>
      </c>
      <c r="C371" t="n">
        <v>3575</v>
      </c>
      <c r="D371" t="n">
        <v>3405</v>
      </c>
      <c r="E371" t="n">
        <v>5450</v>
      </c>
      <c r="F371" t="n">
        <v>4550</v>
      </c>
      <c r="G371" t="n">
        <v>4515</v>
      </c>
      <c r="H371" t="n">
        <v>690</v>
      </c>
      <c r="I371" t="n">
        <v>650</v>
      </c>
      <c r="J371" t="n">
        <v>345</v>
      </c>
      <c r="K371" t="n">
        <v>125</v>
      </c>
      <c r="L371" s="7" t="n">
        <v>65</v>
      </c>
      <c r="M371" s="7" t="n">
        <v>10</v>
      </c>
      <c r="N371" s="6" t="n">
        <v>23380</v>
      </c>
      <c r="O371">
        <f>SUM(C371:H371)</f>
        <v/>
      </c>
      <c r="P371">
        <f>I371</f>
        <v/>
      </c>
      <c r="Q371">
        <f>J371</f>
        <v/>
      </c>
      <c r="R371">
        <f>SUM(K371:M371)</f>
        <v/>
      </c>
      <c r="S371">
        <f>SUM(O371:R371)</f>
        <v/>
      </c>
      <c r="T371" s="3">
        <f>IF(S371=0,"",O371/S371)</f>
        <v/>
      </c>
      <c r="U371" s="3">
        <f>IF(S371=0,"",P371/S371)</f>
        <v/>
      </c>
      <c r="V371" s="3">
        <f>IF(S371=0,"",Q371/S371)</f>
        <v/>
      </c>
      <c r="W371" s="3">
        <f>IF(S371=0,"",R371/S371)</f>
        <v/>
      </c>
      <c r="X371" s="4">
        <f>IF(S371=0,"",T371*Pesos!$B$2+U371*Pesos!$B$3+V371*Pesos!$B$4+W371*Pesos!$B$5)</f>
        <v/>
      </c>
    </row>
    <row r="372">
      <c r="A372" s="2" t="n">
        <v>371</v>
      </c>
      <c r="B372" t="n">
        <v>9</v>
      </c>
      <c r="C372" t="n">
        <v>1045</v>
      </c>
      <c r="D372" t="n">
        <v>775</v>
      </c>
      <c r="E372" t="n">
        <v>530</v>
      </c>
      <c r="F372" t="n">
        <v>380</v>
      </c>
      <c r="G372" t="n">
        <v>595</v>
      </c>
      <c r="H372" t="n">
        <v>585</v>
      </c>
      <c r="I372" t="n">
        <v>1725</v>
      </c>
      <c r="J372" t="n">
        <v>1360</v>
      </c>
      <c r="K372" t="n">
        <v>1200</v>
      </c>
      <c r="L372" t="n">
        <v>1335</v>
      </c>
      <c r="M372" t="n">
        <v>2225</v>
      </c>
      <c r="N372" s="6" t="n">
        <v>11760</v>
      </c>
      <c r="O372">
        <f>SUM(C372:H372)</f>
        <v/>
      </c>
      <c r="P372">
        <f>I372</f>
        <v/>
      </c>
      <c r="Q372">
        <f>J372</f>
        <v/>
      </c>
      <c r="R372">
        <f>SUM(K372:M372)</f>
        <v/>
      </c>
      <c r="S372">
        <f>SUM(O372:R372)</f>
        <v/>
      </c>
      <c r="T372" s="3">
        <f>IF(S372=0,"",O372/S372)</f>
        <v/>
      </c>
      <c r="U372" s="3">
        <f>IF(S372=0,"",P372/S372)</f>
        <v/>
      </c>
      <c r="V372" s="3">
        <f>IF(S372=0,"",Q372/S372)</f>
        <v/>
      </c>
      <c r="W372" s="3">
        <f>IF(S372=0,"",R372/S372)</f>
        <v/>
      </c>
      <c r="X372" s="4">
        <f>IF(S372=0,"",T372*Pesos!$B$2+U372*Pesos!$B$3+V372*Pesos!$B$4+W372*Pesos!$B$5)</f>
        <v/>
      </c>
    </row>
    <row r="373">
      <c r="A373" s="2" t="n">
        <v>372</v>
      </c>
      <c r="B373" t="n">
        <v>8</v>
      </c>
      <c r="C373" t="n">
        <v>695</v>
      </c>
      <c r="D373" t="n">
        <v>410</v>
      </c>
      <c r="E373" t="n">
        <v>345</v>
      </c>
      <c r="F373" t="n">
        <v>335</v>
      </c>
      <c r="G373" t="n">
        <v>460</v>
      </c>
      <c r="H373" t="n">
        <v>245</v>
      </c>
      <c r="I373" t="n">
        <v>1385</v>
      </c>
      <c r="J373" t="n">
        <v>1340</v>
      </c>
      <c r="K373" t="n">
        <v>1265</v>
      </c>
      <c r="L373" t="n">
        <v>1465</v>
      </c>
      <c r="M373" t="n">
        <v>855</v>
      </c>
      <c r="N373" s="6" t="n">
        <v>8795</v>
      </c>
      <c r="O373">
        <f>SUM(C373:H373)</f>
        <v/>
      </c>
      <c r="P373">
        <f>I373</f>
        <v/>
      </c>
      <c r="Q373">
        <f>J373</f>
        <v/>
      </c>
      <c r="R373">
        <f>SUM(K373:M373)</f>
        <v/>
      </c>
      <c r="S373">
        <f>SUM(O373:R373)</f>
        <v/>
      </c>
      <c r="T373" s="3">
        <f>IF(S373=0,"",O373/S373)</f>
        <v/>
      </c>
      <c r="U373" s="3">
        <f>IF(S373=0,"",P373/S373)</f>
        <v/>
      </c>
      <c r="V373" s="3">
        <f>IF(S373=0,"",Q373/S373)</f>
        <v/>
      </c>
      <c r="W373" s="3">
        <f>IF(S373=0,"",R373/S373)</f>
        <v/>
      </c>
      <c r="X373" s="4">
        <f>IF(S373=0,"",T373*Pesos!$B$2+U373*Pesos!$B$3+V373*Pesos!$B$4+W373*Pesos!$B$5)</f>
        <v/>
      </c>
    </row>
    <row r="374">
      <c r="A374" s="2" t="n">
        <v>373</v>
      </c>
      <c r="B374" t="n">
        <v>9</v>
      </c>
      <c r="C374" t="n">
        <v>1005</v>
      </c>
      <c r="D374" t="n">
        <v>620</v>
      </c>
      <c r="E374" t="n">
        <v>415</v>
      </c>
      <c r="F374" t="n">
        <v>245</v>
      </c>
      <c r="G374" t="n">
        <v>375</v>
      </c>
      <c r="H374" t="n">
        <v>770</v>
      </c>
      <c r="I374" t="n">
        <v>1240</v>
      </c>
      <c r="J374" t="n">
        <v>1820</v>
      </c>
      <c r="K374" t="n">
        <v>1205</v>
      </c>
      <c r="L374" t="n">
        <v>860</v>
      </c>
      <c r="M374" t="n">
        <v>1825</v>
      </c>
      <c r="N374" s="6" t="n">
        <v>10385</v>
      </c>
      <c r="O374">
        <f>SUM(C374:H374)</f>
        <v/>
      </c>
      <c r="P374">
        <f>I374</f>
        <v/>
      </c>
      <c r="Q374">
        <f>J374</f>
        <v/>
      </c>
      <c r="R374">
        <f>SUM(K374:M374)</f>
        <v/>
      </c>
      <c r="S374">
        <f>SUM(O374:R374)</f>
        <v/>
      </c>
      <c r="T374" s="3">
        <f>IF(S374=0,"",O374/S374)</f>
        <v/>
      </c>
      <c r="U374" s="3">
        <f>IF(S374=0,"",P374/S374)</f>
        <v/>
      </c>
      <c r="V374" s="3">
        <f>IF(S374=0,"",Q374/S374)</f>
        <v/>
      </c>
      <c r="W374" s="3">
        <f>IF(S374=0,"",R374/S374)</f>
        <v/>
      </c>
      <c r="X374" s="4">
        <f>IF(S374=0,"",T374*Pesos!$B$2+U374*Pesos!$B$3+V374*Pesos!$B$4+W374*Pesos!$B$5)</f>
        <v/>
      </c>
    </row>
    <row r="375">
      <c r="A375" s="2" t="n">
        <v>374</v>
      </c>
      <c r="B375" t="n">
        <v>9</v>
      </c>
      <c r="C375" t="n">
        <v>780</v>
      </c>
      <c r="D375" t="n">
        <v>1155</v>
      </c>
      <c r="E375" t="n">
        <v>535</v>
      </c>
      <c r="F375" t="n">
        <v>665</v>
      </c>
      <c r="G375" t="n">
        <v>640</v>
      </c>
      <c r="H375" t="n">
        <v>1195</v>
      </c>
      <c r="I375" t="n">
        <v>4195</v>
      </c>
      <c r="J375" t="n">
        <v>9965</v>
      </c>
      <c r="K375" t="n">
        <v>175</v>
      </c>
      <c r="L375" s="7" t="n">
        <v>45</v>
      </c>
      <c r="M375" t="n">
        <v>190</v>
      </c>
      <c r="N375" s="6" t="n">
        <v>19535</v>
      </c>
      <c r="O375">
        <f>SUM(C375:H375)</f>
        <v/>
      </c>
      <c r="P375">
        <f>I375</f>
        <v/>
      </c>
      <c r="Q375">
        <f>J375</f>
        <v/>
      </c>
      <c r="R375">
        <f>SUM(K375:M375)</f>
        <v/>
      </c>
      <c r="S375">
        <f>SUM(O375:R375)</f>
        <v/>
      </c>
      <c r="T375" s="3">
        <f>IF(S375=0,"",O375/S375)</f>
        <v/>
      </c>
      <c r="U375" s="3">
        <f>IF(S375=0,"",P375/S375)</f>
        <v/>
      </c>
      <c r="V375" s="3">
        <f>IF(S375=0,"",Q375/S375)</f>
        <v/>
      </c>
      <c r="W375" s="3">
        <f>IF(S375=0,"",R375/S375)</f>
        <v/>
      </c>
      <c r="X375" s="4">
        <f>IF(S375=0,"",T375*Pesos!$B$2+U375*Pesos!$B$3+V375*Pesos!$B$4+W375*Pesos!$B$5)</f>
        <v/>
      </c>
    </row>
    <row r="376">
      <c r="A376" s="2" t="n">
        <v>375</v>
      </c>
      <c r="B376" t="n">
        <v>8</v>
      </c>
      <c r="C376" t="n">
        <v>725</v>
      </c>
      <c r="D376" t="n">
        <v>1220</v>
      </c>
      <c r="E376" t="n">
        <v>1320</v>
      </c>
      <c r="F376" t="n">
        <v>1255</v>
      </c>
      <c r="G376" t="n">
        <v>1215</v>
      </c>
      <c r="H376" t="n">
        <v>2035</v>
      </c>
      <c r="I376" t="n">
        <v>7920</v>
      </c>
      <c r="J376" t="n">
        <v>265</v>
      </c>
      <c r="K376" t="n">
        <v>125</v>
      </c>
      <c r="L376" t="n">
        <v>65</v>
      </c>
      <c r="M376" t="n">
        <v>145</v>
      </c>
      <c r="N376" s="6" t="n">
        <v>16275</v>
      </c>
      <c r="O376">
        <f>SUM(C376:H376)</f>
        <v/>
      </c>
      <c r="P376">
        <f>I376</f>
        <v/>
      </c>
      <c r="Q376">
        <f>J376</f>
        <v/>
      </c>
      <c r="R376">
        <f>SUM(K376:M376)</f>
        <v/>
      </c>
      <c r="S376">
        <f>SUM(O376:R376)</f>
        <v/>
      </c>
      <c r="T376" s="3">
        <f>IF(S376=0,"",O376/S376)</f>
        <v/>
      </c>
      <c r="U376" s="3">
        <f>IF(S376=0,"",P376/S376)</f>
        <v/>
      </c>
      <c r="V376" s="3">
        <f>IF(S376=0,"",Q376/S376)</f>
        <v/>
      </c>
      <c r="W376" s="3">
        <f>IF(S376=0,"",R376/S376)</f>
        <v/>
      </c>
      <c r="X376" s="4">
        <f>IF(S376=0,"",T376*Pesos!$B$2+U376*Pesos!$B$3+V376*Pesos!$B$4+W376*Pesos!$B$5)</f>
        <v/>
      </c>
    </row>
    <row r="377">
      <c r="A377" s="2" t="n">
        <v>376</v>
      </c>
      <c r="B377" t="n">
        <v>10</v>
      </c>
      <c r="C377" t="n">
        <v>370</v>
      </c>
      <c r="D377" t="n">
        <v>670</v>
      </c>
      <c r="E377" t="n">
        <v>285</v>
      </c>
      <c r="F377" t="n">
        <v>315</v>
      </c>
      <c r="G377" t="n">
        <v>340</v>
      </c>
      <c r="H377" t="n">
        <v>390</v>
      </c>
      <c r="I377" t="n">
        <v>1455</v>
      </c>
      <c r="J377" t="n">
        <v>1385</v>
      </c>
      <c r="K377" t="n">
        <v>1725</v>
      </c>
      <c r="L377" t="n">
        <v>370</v>
      </c>
      <c r="M377" t="n">
        <v>1805</v>
      </c>
      <c r="N377" s="6" t="n">
        <v>9105</v>
      </c>
      <c r="O377">
        <f>SUM(C377:H377)</f>
        <v/>
      </c>
      <c r="P377">
        <f>I377</f>
        <v/>
      </c>
      <c r="Q377">
        <f>J377</f>
        <v/>
      </c>
      <c r="R377">
        <f>SUM(K377:M377)</f>
        <v/>
      </c>
      <c r="S377">
        <f>SUM(O377:R377)</f>
        <v/>
      </c>
      <c r="T377" s="3">
        <f>IF(S377=0,"",O377/S377)</f>
        <v/>
      </c>
      <c r="U377" s="3">
        <f>IF(S377=0,"",P377/S377)</f>
        <v/>
      </c>
      <c r="V377" s="3">
        <f>IF(S377=0,"",Q377/S377)</f>
        <v/>
      </c>
      <c r="W377" s="3">
        <f>IF(S377=0,"",R377/S377)</f>
        <v/>
      </c>
      <c r="X377" s="4">
        <f>IF(S377=0,"",T377*Pesos!$B$2+U377*Pesos!$B$3+V377*Pesos!$B$4+W377*Pesos!$B$5)</f>
        <v/>
      </c>
    </row>
    <row r="378">
      <c r="A378" s="2" t="n">
        <v>377</v>
      </c>
      <c r="B378" t="n">
        <v>7</v>
      </c>
      <c r="C378" t="n">
        <v>280</v>
      </c>
      <c r="D378" t="n">
        <v>255</v>
      </c>
      <c r="E378" t="n">
        <v>205</v>
      </c>
      <c r="F378" t="n">
        <v>365</v>
      </c>
      <c r="G378" t="n">
        <v>345</v>
      </c>
      <c r="H378" t="n">
        <v>520</v>
      </c>
      <c r="I378" t="n">
        <v>1155</v>
      </c>
      <c r="J378" t="n">
        <v>930</v>
      </c>
      <c r="K378" t="n">
        <v>705</v>
      </c>
      <c r="L378" t="n">
        <v>450</v>
      </c>
      <c r="M378" t="n">
        <v>1400</v>
      </c>
      <c r="N378" s="6" t="n">
        <v>6615</v>
      </c>
      <c r="O378">
        <f>SUM(C378:H378)</f>
        <v/>
      </c>
      <c r="P378">
        <f>I378</f>
        <v/>
      </c>
      <c r="Q378">
        <f>J378</f>
        <v/>
      </c>
      <c r="R378">
        <f>SUM(K378:M378)</f>
        <v/>
      </c>
      <c r="S378">
        <f>SUM(O378:R378)</f>
        <v/>
      </c>
      <c r="T378" s="3">
        <f>IF(S378=0,"",O378/S378)</f>
        <v/>
      </c>
      <c r="U378" s="3">
        <f>IF(S378=0,"",P378/S378)</f>
        <v/>
      </c>
      <c r="V378" s="3">
        <f>IF(S378=0,"",Q378/S378)</f>
        <v/>
      </c>
      <c r="W378" s="3">
        <f>IF(S378=0,"",R378/S378)</f>
        <v/>
      </c>
      <c r="X378" s="4">
        <f>IF(S378=0,"",T378*Pesos!$B$2+U378*Pesos!$B$3+V378*Pesos!$B$4+W378*Pesos!$B$5)</f>
        <v/>
      </c>
    </row>
    <row r="379">
      <c r="A379" s="2" t="n">
        <v>378</v>
      </c>
      <c r="B379" t="n">
        <v>9</v>
      </c>
      <c r="C379" t="n">
        <v>310</v>
      </c>
      <c r="D379" t="n">
        <v>705</v>
      </c>
      <c r="E379" t="n">
        <v>285</v>
      </c>
      <c r="F379" t="n">
        <v>300</v>
      </c>
      <c r="G379" t="n">
        <v>350</v>
      </c>
      <c r="H379" t="n">
        <v>370</v>
      </c>
      <c r="I379" t="n">
        <v>765</v>
      </c>
      <c r="J379" t="n">
        <v>1050</v>
      </c>
      <c r="K379" t="n">
        <v>2190</v>
      </c>
      <c r="L379" t="n">
        <v>695</v>
      </c>
      <c r="M379" t="n">
        <v>1705</v>
      </c>
      <c r="N379" s="6" t="n">
        <v>8725</v>
      </c>
      <c r="O379">
        <f>SUM(C379:H379)</f>
        <v/>
      </c>
      <c r="P379">
        <f>I379</f>
        <v/>
      </c>
      <c r="Q379">
        <f>J379</f>
        <v/>
      </c>
      <c r="R379">
        <f>SUM(K379:M379)</f>
        <v/>
      </c>
      <c r="S379">
        <f>SUM(O379:R379)</f>
        <v/>
      </c>
      <c r="T379" s="3">
        <f>IF(S379=0,"",O379/S379)</f>
        <v/>
      </c>
      <c r="U379" s="3">
        <f>IF(S379=0,"",P379/S379)</f>
        <v/>
      </c>
      <c r="V379" s="3">
        <f>IF(S379=0,"",Q379/S379)</f>
        <v/>
      </c>
      <c r="W379" s="3">
        <f>IF(S379=0,"",R379/S379)</f>
        <v/>
      </c>
      <c r="X379" s="4">
        <f>IF(S379=0,"",T379*Pesos!$B$2+U379*Pesos!$B$3+V379*Pesos!$B$4+W379*Pesos!$B$5)</f>
        <v/>
      </c>
    </row>
    <row r="380">
      <c r="A380" s="2" t="n">
        <v>379</v>
      </c>
      <c r="B380" t="n">
        <v>7</v>
      </c>
      <c r="C380" t="n">
        <v>260</v>
      </c>
      <c r="D380" t="n">
        <v>220</v>
      </c>
      <c r="E380" t="n">
        <v>125</v>
      </c>
      <c r="F380" t="n">
        <v>145</v>
      </c>
      <c r="G380" t="n">
        <v>185</v>
      </c>
      <c r="H380" t="n">
        <v>360</v>
      </c>
      <c r="I380" t="n">
        <v>930</v>
      </c>
      <c r="J380" t="n">
        <v>695</v>
      </c>
      <c r="K380" t="n">
        <v>465</v>
      </c>
      <c r="L380" t="n">
        <v>395</v>
      </c>
      <c r="M380" t="n">
        <v>1930</v>
      </c>
      <c r="N380" s="6" t="n">
        <v>5715</v>
      </c>
      <c r="O380">
        <f>SUM(C380:H380)</f>
        <v/>
      </c>
      <c r="P380">
        <f>I380</f>
        <v/>
      </c>
      <c r="Q380">
        <f>J380</f>
        <v/>
      </c>
      <c r="R380">
        <f>SUM(K380:M380)</f>
        <v/>
      </c>
      <c r="S380">
        <f>SUM(O380:R380)</f>
        <v/>
      </c>
      <c r="T380" s="3">
        <f>IF(S380=0,"",O380/S380)</f>
        <v/>
      </c>
      <c r="U380" s="3">
        <f>IF(S380=0,"",P380/S380)</f>
        <v/>
      </c>
      <c r="V380" s="3">
        <f>IF(S380=0,"",Q380/S380)</f>
        <v/>
      </c>
      <c r="W380" s="3">
        <f>IF(S380=0,"",R380/S380)</f>
        <v/>
      </c>
      <c r="X380" s="4">
        <f>IF(S380=0,"",T380*Pesos!$B$2+U380*Pesos!$B$3+V380*Pesos!$B$4+W380*Pesos!$B$5)</f>
        <v/>
      </c>
    </row>
    <row r="381">
      <c r="A381" s="2" t="n">
        <v>380</v>
      </c>
      <c r="B381" t="n">
        <v>11</v>
      </c>
      <c r="C381" t="n">
        <v>370</v>
      </c>
      <c r="D381" t="n">
        <v>420</v>
      </c>
      <c r="E381" t="n">
        <v>190</v>
      </c>
      <c r="F381" t="n">
        <v>315</v>
      </c>
      <c r="G381" t="n">
        <v>285</v>
      </c>
      <c r="H381" t="n">
        <v>145</v>
      </c>
      <c r="I381" t="n">
        <v>835</v>
      </c>
      <c r="J381" t="n">
        <v>1245</v>
      </c>
      <c r="K381" t="n">
        <v>890</v>
      </c>
      <c r="L381" t="n">
        <v>3035</v>
      </c>
      <c r="M381" t="n">
        <v>190</v>
      </c>
      <c r="N381" s="6" t="n">
        <v>7920</v>
      </c>
      <c r="O381">
        <f>SUM(C381:H381)</f>
        <v/>
      </c>
      <c r="P381">
        <f>I381</f>
        <v/>
      </c>
      <c r="Q381">
        <f>J381</f>
        <v/>
      </c>
      <c r="R381">
        <f>SUM(K381:M381)</f>
        <v/>
      </c>
      <c r="S381">
        <f>SUM(O381:R381)</f>
        <v/>
      </c>
      <c r="T381" s="3">
        <f>IF(S381=0,"",O381/S381)</f>
        <v/>
      </c>
      <c r="U381" s="3">
        <f>IF(S381=0,"",P381/S381)</f>
        <v/>
      </c>
      <c r="V381" s="3">
        <f>IF(S381=0,"",Q381/S381)</f>
        <v/>
      </c>
      <c r="W381" s="3">
        <f>IF(S381=0,"",R381/S381)</f>
        <v/>
      </c>
      <c r="X381" s="4">
        <f>IF(S381=0,"",T381*Pesos!$B$2+U381*Pesos!$B$3+V381*Pesos!$B$4+W381*Pesos!$B$5)</f>
        <v/>
      </c>
    </row>
    <row r="382">
      <c r="A382" s="2" t="n">
        <v>381</v>
      </c>
      <c r="B382" t="n">
        <v>7</v>
      </c>
      <c r="C382" t="n">
        <v>380</v>
      </c>
      <c r="D382" t="n">
        <v>185</v>
      </c>
      <c r="E382" t="n">
        <v>225</v>
      </c>
      <c r="F382" t="n">
        <v>160</v>
      </c>
      <c r="G382" t="n">
        <v>300</v>
      </c>
      <c r="H382" t="n">
        <v>265</v>
      </c>
      <c r="I382" t="n">
        <v>1135</v>
      </c>
      <c r="J382" t="n">
        <v>665</v>
      </c>
      <c r="K382" t="n">
        <v>1105</v>
      </c>
      <c r="L382" t="n">
        <v>445</v>
      </c>
      <c r="M382" t="n">
        <v>1925</v>
      </c>
      <c r="N382" s="6" t="n">
        <v>6790</v>
      </c>
      <c r="O382">
        <f>SUM(C382:H382)</f>
        <v/>
      </c>
      <c r="P382">
        <f>I382</f>
        <v/>
      </c>
      <c r="Q382">
        <f>J382</f>
        <v/>
      </c>
      <c r="R382">
        <f>SUM(K382:M382)</f>
        <v/>
      </c>
      <c r="S382">
        <f>SUM(O382:R382)</f>
        <v/>
      </c>
      <c r="T382" s="3">
        <f>IF(S382=0,"",O382/S382)</f>
        <v/>
      </c>
      <c r="U382" s="3">
        <f>IF(S382=0,"",P382/S382)</f>
        <v/>
      </c>
      <c r="V382" s="3">
        <f>IF(S382=0,"",Q382/S382)</f>
        <v/>
      </c>
      <c r="W382" s="3">
        <f>IF(S382=0,"",R382/S382)</f>
        <v/>
      </c>
      <c r="X382" s="4">
        <f>IF(S382=0,"",T382*Pesos!$B$2+U382*Pesos!$B$3+V382*Pesos!$B$4+W382*Pesos!$B$5)</f>
        <v/>
      </c>
    </row>
    <row r="383">
      <c r="A383" s="2" t="n">
        <v>382</v>
      </c>
      <c r="B383" t="n">
        <v>7</v>
      </c>
      <c r="C383" t="n">
        <v>495</v>
      </c>
      <c r="D383" t="n">
        <v>1040</v>
      </c>
      <c r="E383" t="n">
        <v>410</v>
      </c>
      <c r="F383" t="n">
        <v>930</v>
      </c>
      <c r="G383" t="n">
        <v>300</v>
      </c>
      <c r="H383" t="n">
        <v>360</v>
      </c>
      <c r="I383" t="n">
        <v>1580</v>
      </c>
      <c r="J383" t="n">
        <v>3470</v>
      </c>
      <c r="K383" t="n">
        <v>2345</v>
      </c>
      <c r="L383" t="n">
        <v>2260</v>
      </c>
      <c r="M383" t="n">
        <v>175</v>
      </c>
      <c r="N383" s="6" t="n">
        <v>13370</v>
      </c>
      <c r="O383">
        <f>SUM(C383:H383)</f>
        <v/>
      </c>
      <c r="P383">
        <f>I383</f>
        <v/>
      </c>
      <c r="Q383">
        <f>J383</f>
        <v/>
      </c>
      <c r="R383">
        <f>SUM(K383:M383)</f>
        <v/>
      </c>
      <c r="S383">
        <f>SUM(O383:R383)</f>
        <v/>
      </c>
      <c r="T383" s="3">
        <f>IF(S383=0,"",O383/S383)</f>
        <v/>
      </c>
      <c r="U383" s="3">
        <f>IF(S383=0,"",P383/S383)</f>
        <v/>
      </c>
      <c r="V383" s="3">
        <f>IF(S383=0,"",Q383/S383)</f>
        <v/>
      </c>
      <c r="W383" s="3">
        <f>IF(S383=0,"",R383/S383)</f>
        <v/>
      </c>
      <c r="X383" s="4">
        <f>IF(S383=0,"",T383*Pesos!$B$2+U383*Pesos!$B$3+V383*Pesos!$B$4+W383*Pesos!$B$5)</f>
        <v/>
      </c>
    </row>
    <row r="384">
      <c r="A384" s="2" t="n">
        <v>383</v>
      </c>
      <c r="B384" t="n">
        <v>7</v>
      </c>
      <c r="C384" t="n">
        <v>675</v>
      </c>
      <c r="D384" t="n">
        <v>960</v>
      </c>
      <c r="E384" t="n">
        <v>770</v>
      </c>
      <c r="F384" t="n">
        <v>645</v>
      </c>
      <c r="G384" t="n">
        <v>695</v>
      </c>
      <c r="H384" t="n">
        <v>820</v>
      </c>
      <c r="I384" t="n">
        <v>5010</v>
      </c>
      <c r="J384" t="n">
        <v>6015</v>
      </c>
      <c r="K384" t="n">
        <v>95</v>
      </c>
      <c r="L384" t="n">
        <v>80</v>
      </c>
      <c r="M384" s="7" t="n">
        <v>40</v>
      </c>
      <c r="N384" s="6" t="n">
        <v>15805</v>
      </c>
      <c r="O384">
        <f>SUM(C384:H384)</f>
        <v/>
      </c>
      <c r="P384">
        <f>I384</f>
        <v/>
      </c>
      <c r="Q384">
        <f>J384</f>
        <v/>
      </c>
      <c r="R384">
        <f>SUM(K384:M384)</f>
        <v/>
      </c>
      <c r="S384">
        <f>SUM(O384:R384)</f>
        <v/>
      </c>
      <c r="T384" s="3">
        <f>IF(S384=0,"",O384/S384)</f>
        <v/>
      </c>
      <c r="U384" s="3">
        <f>IF(S384=0,"",P384/S384)</f>
        <v/>
      </c>
      <c r="V384" s="3">
        <f>IF(S384=0,"",Q384/S384)</f>
        <v/>
      </c>
      <c r="W384" s="3">
        <f>IF(S384=0,"",R384/S384)</f>
        <v/>
      </c>
      <c r="X384" s="4">
        <f>IF(S384=0,"",T384*Pesos!$B$2+U384*Pesos!$B$3+V384*Pesos!$B$4+W384*Pesos!$B$5)</f>
        <v/>
      </c>
    </row>
    <row r="385">
      <c r="A385" s="2" t="n">
        <v>384</v>
      </c>
      <c r="B385" t="n">
        <v>7</v>
      </c>
      <c r="C385" t="n">
        <v>1230</v>
      </c>
      <c r="D385" t="n">
        <v>1850</v>
      </c>
      <c r="E385" t="n">
        <v>1570</v>
      </c>
      <c r="F385" t="n">
        <v>1170</v>
      </c>
      <c r="G385" t="n">
        <v>1555</v>
      </c>
      <c r="H385" t="n">
        <v>1455</v>
      </c>
      <c r="I385" t="n">
        <v>4045</v>
      </c>
      <c r="J385" t="n">
        <v>1080</v>
      </c>
      <c r="K385" t="n">
        <v>1040</v>
      </c>
      <c r="L385" t="n">
        <v>260</v>
      </c>
      <c r="M385" t="n">
        <v>1160</v>
      </c>
      <c r="N385" s="6" t="n">
        <v>16420</v>
      </c>
      <c r="O385">
        <f>SUM(C385:H385)</f>
        <v/>
      </c>
      <c r="P385">
        <f>I385</f>
        <v/>
      </c>
      <c r="Q385">
        <f>J385</f>
        <v/>
      </c>
      <c r="R385">
        <f>SUM(K385:M385)</f>
        <v/>
      </c>
      <c r="S385">
        <f>SUM(O385:R385)</f>
        <v/>
      </c>
      <c r="T385" s="3">
        <f>IF(S385=0,"",O385/S385)</f>
        <v/>
      </c>
      <c r="U385" s="3">
        <f>IF(S385=0,"",P385/S385)</f>
        <v/>
      </c>
      <c r="V385" s="3">
        <f>IF(S385=0,"",Q385/S385)</f>
        <v/>
      </c>
      <c r="W385" s="3">
        <f>IF(S385=0,"",R385/S385)</f>
        <v/>
      </c>
      <c r="X385" s="4">
        <f>IF(S385=0,"",T385*Pesos!$B$2+U385*Pesos!$B$3+V385*Pesos!$B$4+W385*Pesos!$B$5)</f>
        <v/>
      </c>
    </row>
    <row r="386">
      <c r="A386" s="2" t="n">
        <v>385</v>
      </c>
      <c r="B386" t="n">
        <v>9</v>
      </c>
      <c r="C386" t="n">
        <v>550</v>
      </c>
      <c r="D386" t="n">
        <v>795</v>
      </c>
      <c r="E386" t="n">
        <v>600</v>
      </c>
      <c r="F386" t="n">
        <v>460</v>
      </c>
      <c r="G386" t="n">
        <v>340</v>
      </c>
      <c r="H386" t="n">
        <v>615</v>
      </c>
      <c r="I386" t="n">
        <v>1980</v>
      </c>
      <c r="J386" t="n">
        <v>5290</v>
      </c>
      <c r="K386" t="n">
        <v>1240</v>
      </c>
      <c r="L386" t="n">
        <v>690</v>
      </c>
      <c r="M386" t="n">
        <v>1635</v>
      </c>
      <c r="N386" s="6" t="n">
        <v>14195</v>
      </c>
      <c r="O386">
        <f>SUM(C386:H386)</f>
        <v/>
      </c>
      <c r="P386">
        <f>I386</f>
        <v/>
      </c>
      <c r="Q386">
        <f>J386</f>
        <v/>
      </c>
      <c r="R386">
        <f>SUM(K386:M386)</f>
        <v/>
      </c>
      <c r="S386">
        <f>SUM(O386:R386)</f>
        <v/>
      </c>
      <c r="T386" s="3">
        <f>IF(S386=0,"",O386/S386)</f>
        <v/>
      </c>
      <c r="U386" s="3">
        <f>IF(S386=0,"",P386/S386)</f>
        <v/>
      </c>
      <c r="V386" s="3">
        <f>IF(S386=0,"",Q386/S386)</f>
        <v/>
      </c>
      <c r="W386" s="3">
        <f>IF(S386=0,"",R386/S386)</f>
        <v/>
      </c>
      <c r="X386" s="4">
        <f>IF(S386=0,"",T386*Pesos!$B$2+U386*Pesos!$B$3+V386*Pesos!$B$4+W386*Pesos!$B$5)</f>
        <v/>
      </c>
    </row>
    <row r="387">
      <c r="A387" s="2" t="n">
        <v>386</v>
      </c>
      <c r="B387" t="n">
        <v>12</v>
      </c>
      <c r="C387" t="n">
        <v>620</v>
      </c>
      <c r="D387" t="n">
        <v>860</v>
      </c>
      <c r="E387" t="n">
        <v>775</v>
      </c>
      <c r="F387" t="n">
        <v>775</v>
      </c>
      <c r="G387" t="n">
        <v>640</v>
      </c>
      <c r="H387" t="n">
        <v>530</v>
      </c>
      <c r="I387" t="n">
        <v>3095</v>
      </c>
      <c r="J387" t="n">
        <v>3980</v>
      </c>
      <c r="K387" t="n">
        <v>2495</v>
      </c>
      <c r="L387" t="n">
        <v>3465</v>
      </c>
      <c r="M387" t="n">
        <v>395</v>
      </c>
      <c r="N387" s="6" t="n">
        <v>17635</v>
      </c>
      <c r="O387">
        <f>SUM(C387:H387)</f>
        <v/>
      </c>
      <c r="P387">
        <f>I387</f>
        <v/>
      </c>
      <c r="Q387">
        <f>J387</f>
        <v/>
      </c>
      <c r="R387">
        <f>SUM(K387:M387)</f>
        <v/>
      </c>
      <c r="S387">
        <f>SUM(O387:R387)</f>
        <v/>
      </c>
      <c r="T387" s="3">
        <f>IF(S387=0,"",O387/S387)</f>
        <v/>
      </c>
      <c r="U387" s="3">
        <f>IF(S387=0,"",P387/S387)</f>
        <v/>
      </c>
      <c r="V387" s="3">
        <f>IF(S387=0,"",Q387/S387)</f>
        <v/>
      </c>
      <c r="W387" s="3">
        <f>IF(S387=0,"",R387/S387)</f>
        <v/>
      </c>
      <c r="X387" s="4">
        <f>IF(S387=0,"",T387*Pesos!$B$2+U387*Pesos!$B$3+V387*Pesos!$B$4+W387*Pesos!$B$5)</f>
        <v/>
      </c>
    </row>
    <row r="388">
      <c r="A388" s="2" t="n">
        <v>387</v>
      </c>
      <c r="B388" t="n">
        <v>11</v>
      </c>
      <c r="C388" t="n">
        <v>1395</v>
      </c>
      <c r="D388" t="n">
        <v>1065</v>
      </c>
      <c r="E388" t="n">
        <v>1315</v>
      </c>
      <c r="F388" t="n">
        <v>440</v>
      </c>
      <c r="G388" t="n">
        <v>675</v>
      </c>
      <c r="H388" t="n">
        <v>860</v>
      </c>
      <c r="I388" t="n">
        <v>2130</v>
      </c>
      <c r="J388" t="n">
        <v>3255</v>
      </c>
      <c r="K388" t="n">
        <v>1920</v>
      </c>
      <c r="L388" t="n">
        <v>1475</v>
      </c>
      <c r="M388" t="n">
        <v>1315</v>
      </c>
      <c r="N388" s="6" t="n">
        <v>15840</v>
      </c>
      <c r="O388">
        <f>SUM(C388:H388)</f>
        <v/>
      </c>
      <c r="P388">
        <f>I388</f>
        <v/>
      </c>
      <c r="Q388">
        <f>J388</f>
        <v/>
      </c>
      <c r="R388">
        <f>SUM(K388:M388)</f>
        <v/>
      </c>
      <c r="S388">
        <f>SUM(O388:R388)</f>
        <v/>
      </c>
      <c r="T388" s="3">
        <f>IF(S388=0,"",O388/S388)</f>
        <v/>
      </c>
      <c r="U388" s="3">
        <f>IF(S388=0,"",P388/S388)</f>
        <v/>
      </c>
      <c r="V388" s="3">
        <f>IF(S388=0,"",Q388/S388)</f>
        <v/>
      </c>
      <c r="W388" s="3">
        <f>IF(S388=0,"",R388/S388)</f>
        <v/>
      </c>
      <c r="X388" s="4">
        <f>IF(S388=0,"",T388*Pesos!$B$2+U388*Pesos!$B$3+V388*Pesos!$B$4+W388*Pesos!$B$5)</f>
        <v/>
      </c>
    </row>
    <row r="389">
      <c r="A389" s="2" t="n">
        <v>388</v>
      </c>
      <c r="B389" t="n">
        <v>9</v>
      </c>
      <c r="C389" t="n">
        <v>570</v>
      </c>
      <c r="D389" t="n">
        <v>740</v>
      </c>
      <c r="E389" t="n">
        <v>565</v>
      </c>
      <c r="F389" t="n">
        <v>565</v>
      </c>
      <c r="G389" t="n">
        <v>535</v>
      </c>
      <c r="H389" t="n">
        <v>620</v>
      </c>
      <c r="I389" t="n">
        <v>2665</v>
      </c>
      <c r="J389" t="n">
        <v>3235</v>
      </c>
      <c r="K389" t="n">
        <v>2390</v>
      </c>
      <c r="L389" t="n">
        <v>1105</v>
      </c>
      <c r="M389" s="7" t="n">
        <v>35</v>
      </c>
      <c r="N389" s="6" t="n">
        <v>13015</v>
      </c>
      <c r="O389">
        <f>SUM(C389:H389)</f>
        <v/>
      </c>
      <c r="P389">
        <f>I389</f>
        <v/>
      </c>
      <c r="Q389">
        <f>J389</f>
        <v/>
      </c>
      <c r="R389">
        <f>SUM(K389:M389)</f>
        <v/>
      </c>
      <c r="S389">
        <f>SUM(O389:R389)</f>
        <v/>
      </c>
      <c r="T389" s="3">
        <f>IF(S389=0,"",O389/S389)</f>
        <v/>
      </c>
      <c r="U389" s="3">
        <f>IF(S389=0,"",P389/S389)</f>
        <v/>
      </c>
      <c r="V389" s="3">
        <f>IF(S389=0,"",Q389/S389)</f>
        <v/>
      </c>
      <c r="W389" s="3">
        <f>IF(S389=0,"",R389/S389)</f>
        <v/>
      </c>
      <c r="X389" s="4">
        <f>IF(S389=0,"",T389*Pesos!$B$2+U389*Pesos!$B$3+V389*Pesos!$B$4+W389*Pesos!$B$5)</f>
        <v/>
      </c>
    </row>
    <row r="390">
      <c r="A390" s="2" t="n">
        <v>389</v>
      </c>
      <c r="B390" t="n">
        <v>8</v>
      </c>
      <c r="C390" t="n">
        <v>635</v>
      </c>
      <c r="D390" t="n">
        <v>870</v>
      </c>
      <c r="E390" t="n">
        <v>955</v>
      </c>
      <c r="F390" t="n">
        <v>520</v>
      </c>
      <c r="G390" t="n">
        <v>905</v>
      </c>
      <c r="H390" t="n">
        <v>730</v>
      </c>
      <c r="I390" t="n">
        <v>2595</v>
      </c>
      <c r="J390" t="n">
        <v>2185</v>
      </c>
      <c r="K390" t="n">
        <v>1095</v>
      </c>
      <c r="L390" t="n">
        <v>760</v>
      </c>
      <c r="M390" t="n">
        <v>470</v>
      </c>
      <c r="N390" s="6" t="n">
        <v>11715</v>
      </c>
      <c r="O390">
        <f>SUM(C390:H390)</f>
        <v/>
      </c>
      <c r="P390">
        <f>I390</f>
        <v/>
      </c>
      <c r="Q390">
        <f>J390</f>
        <v/>
      </c>
      <c r="R390">
        <f>SUM(K390:M390)</f>
        <v/>
      </c>
      <c r="S390">
        <f>SUM(O390:R390)</f>
        <v/>
      </c>
      <c r="T390" s="3">
        <f>IF(S390=0,"",O390/S390)</f>
        <v/>
      </c>
      <c r="U390" s="3">
        <f>IF(S390=0,"",P390/S390)</f>
        <v/>
      </c>
      <c r="V390" s="3">
        <f>IF(S390=0,"",Q390/S390)</f>
        <v/>
      </c>
      <c r="W390" s="3">
        <f>IF(S390=0,"",R390/S390)</f>
        <v/>
      </c>
      <c r="X390" s="4">
        <f>IF(S390=0,"",T390*Pesos!$B$2+U390*Pesos!$B$3+V390*Pesos!$B$4+W390*Pesos!$B$5)</f>
        <v/>
      </c>
    </row>
    <row r="391">
      <c r="A391" s="2" t="n">
        <v>390</v>
      </c>
      <c r="B391" t="n">
        <v>9</v>
      </c>
      <c r="C391" t="n">
        <v>800</v>
      </c>
      <c r="D391" t="n">
        <v>1335</v>
      </c>
      <c r="E391" t="n">
        <v>1110</v>
      </c>
      <c r="F391" t="n">
        <v>615</v>
      </c>
      <c r="G391" t="n">
        <v>845</v>
      </c>
      <c r="H391" t="n">
        <v>810</v>
      </c>
      <c r="I391" t="n">
        <v>3165</v>
      </c>
      <c r="J391" t="n">
        <v>4045</v>
      </c>
      <c r="K391" t="n">
        <v>2160</v>
      </c>
      <c r="L391" t="n">
        <v>655</v>
      </c>
      <c r="M391" t="n">
        <v>155</v>
      </c>
      <c r="N391" s="6" t="n">
        <v>15695</v>
      </c>
      <c r="O391">
        <f>SUM(C391:H391)</f>
        <v/>
      </c>
      <c r="P391">
        <f>I391</f>
        <v/>
      </c>
      <c r="Q391">
        <f>J391</f>
        <v/>
      </c>
      <c r="R391">
        <f>SUM(K391:M391)</f>
        <v/>
      </c>
      <c r="S391">
        <f>SUM(O391:R391)</f>
        <v/>
      </c>
      <c r="T391" s="3">
        <f>IF(S391=0,"",O391/S391)</f>
        <v/>
      </c>
      <c r="U391" s="3">
        <f>IF(S391=0,"",P391/S391)</f>
        <v/>
      </c>
      <c r="V391" s="3">
        <f>IF(S391=0,"",Q391/S391)</f>
        <v/>
      </c>
      <c r="W391" s="3">
        <f>IF(S391=0,"",R391/S391)</f>
        <v/>
      </c>
      <c r="X391" s="4">
        <f>IF(S391=0,"",T391*Pesos!$B$2+U391*Pesos!$B$3+V391*Pesos!$B$4+W391*Pesos!$B$5)</f>
        <v/>
      </c>
    </row>
    <row r="392">
      <c r="A392" s="2" t="n">
        <v>391</v>
      </c>
      <c r="B392" t="n">
        <v>7</v>
      </c>
      <c r="C392" t="n">
        <v>720</v>
      </c>
      <c r="D392" t="n">
        <v>1260</v>
      </c>
      <c r="E392" t="n">
        <v>1125</v>
      </c>
      <c r="F392" t="n">
        <v>925</v>
      </c>
      <c r="G392" t="n">
        <v>1310</v>
      </c>
      <c r="H392" t="n">
        <v>1490</v>
      </c>
      <c r="I392" t="n">
        <v>6215</v>
      </c>
      <c r="J392" t="n">
        <v>2720</v>
      </c>
      <c r="K392" t="n">
        <v>555</v>
      </c>
      <c r="L392" t="n">
        <v>260</v>
      </c>
      <c r="M392" s="7" t="n">
        <v>35</v>
      </c>
      <c r="N392" s="6" t="n">
        <v>16610</v>
      </c>
      <c r="O392">
        <f>SUM(C392:H392)</f>
        <v/>
      </c>
      <c r="P392">
        <f>I392</f>
        <v/>
      </c>
      <c r="Q392">
        <f>J392</f>
        <v/>
      </c>
      <c r="R392">
        <f>SUM(K392:M392)</f>
        <v/>
      </c>
      <c r="S392">
        <f>SUM(O392:R392)</f>
        <v/>
      </c>
      <c r="T392" s="3">
        <f>IF(S392=0,"",O392/S392)</f>
        <v/>
      </c>
      <c r="U392" s="3">
        <f>IF(S392=0,"",P392/S392)</f>
        <v/>
      </c>
      <c r="V392" s="3">
        <f>IF(S392=0,"",Q392/S392)</f>
        <v/>
      </c>
      <c r="W392" s="3">
        <f>IF(S392=0,"",R392/S392)</f>
        <v/>
      </c>
      <c r="X392" s="4">
        <f>IF(S392=0,"",T392*Pesos!$B$2+U392*Pesos!$B$3+V392*Pesos!$B$4+W392*Pesos!$B$5)</f>
        <v/>
      </c>
    </row>
    <row r="393">
      <c r="A393" s="2" t="n">
        <v>392</v>
      </c>
      <c r="B393" t="n">
        <v>8</v>
      </c>
      <c r="C393" t="n">
        <v>565</v>
      </c>
      <c r="D393" t="n">
        <v>710</v>
      </c>
      <c r="E393" t="n">
        <v>585</v>
      </c>
      <c r="F393" t="n">
        <v>580</v>
      </c>
      <c r="G393" t="n">
        <v>970</v>
      </c>
      <c r="H393" t="n">
        <v>905</v>
      </c>
      <c r="I393" t="n">
        <v>2285</v>
      </c>
      <c r="J393" t="n">
        <v>3275</v>
      </c>
      <c r="K393" t="n">
        <v>2195</v>
      </c>
      <c r="L393" t="n">
        <v>390</v>
      </c>
      <c r="M393" s="7" t="n">
        <v>25</v>
      </c>
      <c r="N393" s="6" t="n">
        <v>12485</v>
      </c>
      <c r="O393">
        <f>SUM(C393:H393)</f>
        <v/>
      </c>
      <c r="P393">
        <f>I393</f>
        <v/>
      </c>
      <c r="Q393">
        <f>J393</f>
        <v/>
      </c>
      <c r="R393">
        <f>SUM(K393:M393)</f>
        <v/>
      </c>
      <c r="S393">
        <f>SUM(O393:R393)</f>
        <v/>
      </c>
      <c r="T393" s="3">
        <f>IF(S393=0,"",O393/S393)</f>
        <v/>
      </c>
      <c r="U393" s="3">
        <f>IF(S393=0,"",P393/S393)</f>
        <v/>
      </c>
      <c r="V393" s="3">
        <f>IF(S393=0,"",Q393/S393)</f>
        <v/>
      </c>
      <c r="W393" s="3">
        <f>IF(S393=0,"",R393/S393)</f>
        <v/>
      </c>
      <c r="X393" s="4">
        <f>IF(S393=0,"",T393*Pesos!$B$2+U393*Pesos!$B$3+V393*Pesos!$B$4+W393*Pesos!$B$5)</f>
        <v/>
      </c>
    </row>
    <row r="394">
      <c r="A394" s="2" t="n">
        <v>393</v>
      </c>
      <c r="B394" t="n">
        <v>17</v>
      </c>
      <c r="C394" t="n">
        <v>1430</v>
      </c>
      <c r="D394" t="n">
        <v>2080</v>
      </c>
      <c r="E394" t="n">
        <v>2025</v>
      </c>
      <c r="F394" t="n">
        <v>1825</v>
      </c>
      <c r="G394" t="n">
        <v>1680</v>
      </c>
      <c r="H394" t="n">
        <v>2715</v>
      </c>
      <c r="I394" t="n">
        <v>8375</v>
      </c>
      <c r="J394" t="n">
        <v>8670</v>
      </c>
      <c r="K394" t="n">
        <v>2905</v>
      </c>
      <c r="L394" t="n">
        <v>2220</v>
      </c>
      <c r="M394" t="n">
        <v>575</v>
      </c>
      <c r="N394" s="6" t="n">
        <v>34495</v>
      </c>
      <c r="O394">
        <f>SUM(C394:H394)</f>
        <v/>
      </c>
      <c r="P394">
        <f>I394</f>
        <v/>
      </c>
      <c r="Q394">
        <f>J394</f>
        <v/>
      </c>
      <c r="R394">
        <f>SUM(K394:M394)</f>
        <v/>
      </c>
      <c r="S394">
        <f>SUM(O394:R394)</f>
        <v/>
      </c>
      <c r="T394" s="3">
        <f>IF(S394=0,"",O394/S394)</f>
        <v/>
      </c>
      <c r="U394" s="3">
        <f>IF(S394=0,"",P394/S394)</f>
        <v/>
      </c>
      <c r="V394" s="3">
        <f>IF(S394=0,"",Q394/S394)</f>
        <v/>
      </c>
      <c r="W394" s="3">
        <f>IF(S394=0,"",R394/S394)</f>
        <v/>
      </c>
      <c r="X394" s="4">
        <f>IF(S394=0,"",T394*Pesos!$B$2+U394*Pesos!$B$3+V394*Pesos!$B$4+W394*Pesos!$B$5)</f>
        <v/>
      </c>
    </row>
    <row r="395">
      <c r="A395" s="2" t="n">
        <v>394</v>
      </c>
      <c r="B395" t="n">
        <v>7</v>
      </c>
      <c r="C395" t="n">
        <v>475</v>
      </c>
      <c r="D395" t="n">
        <v>1050</v>
      </c>
      <c r="E395" t="n">
        <v>805</v>
      </c>
      <c r="F395" t="n">
        <v>1195</v>
      </c>
      <c r="G395" t="n">
        <v>630</v>
      </c>
      <c r="H395" t="n">
        <v>715</v>
      </c>
      <c r="I395" t="n">
        <v>3225</v>
      </c>
      <c r="J395" t="n">
        <v>3050</v>
      </c>
      <c r="K395" t="n">
        <v>645</v>
      </c>
      <c r="L395" t="n">
        <v>355</v>
      </c>
      <c r="M395" t="n">
        <v>275</v>
      </c>
      <c r="N395" s="6" t="n">
        <v>12415</v>
      </c>
      <c r="O395">
        <f>SUM(C395:H395)</f>
        <v/>
      </c>
      <c r="P395">
        <f>I395</f>
        <v/>
      </c>
      <c r="Q395">
        <f>J395</f>
        <v/>
      </c>
      <c r="R395">
        <f>SUM(K395:M395)</f>
        <v/>
      </c>
      <c r="S395">
        <f>SUM(O395:R395)</f>
        <v/>
      </c>
      <c r="T395" s="3">
        <f>IF(S395=0,"",O395/S395)</f>
        <v/>
      </c>
      <c r="U395" s="3">
        <f>IF(S395=0,"",P395/S395)</f>
        <v/>
      </c>
      <c r="V395" s="3">
        <f>IF(S395=0,"",Q395/S395)</f>
        <v/>
      </c>
      <c r="W395" s="3">
        <f>IF(S395=0,"",R395/S395)</f>
        <v/>
      </c>
      <c r="X395" s="4">
        <f>IF(S395=0,"",T395*Pesos!$B$2+U395*Pesos!$B$3+V395*Pesos!$B$4+W395*Pesos!$B$5)</f>
        <v/>
      </c>
    </row>
    <row r="396">
      <c r="A396" s="2" t="n">
        <v>395</v>
      </c>
      <c r="B396" t="n">
        <v>8</v>
      </c>
      <c r="C396" t="n">
        <v>945</v>
      </c>
      <c r="D396" t="n">
        <v>1500</v>
      </c>
      <c r="E396" t="n">
        <v>1640</v>
      </c>
      <c r="F396" t="n">
        <v>1100</v>
      </c>
      <c r="G396" t="n">
        <v>1235</v>
      </c>
      <c r="H396" t="n">
        <v>1535</v>
      </c>
      <c r="I396" t="n">
        <v>3165</v>
      </c>
      <c r="J396" t="n">
        <v>2325</v>
      </c>
      <c r="K396" t="n">
        <v>1000</v>
      </c>
      <c r="L396" t="n">
        <v>635</v>
      </c>
      <c r="M396" t="n">
        <v>670</v>
      </c>
      <c r="N396" s="6" t="n">
        <v>15745</v>
      </c>
      <c r="O396">
        <f>SUM(C396:H396)</f>
        <v/>
      </c>
      <c r="P396">
        <f>I396</f>
        <v/>
      </c>
      <c r="Q396">
        <f>J396</f>
        <v/>
      </c>
      <c r="R396">
        <f>SUM(K396:M396)</f>
        <v/>
      </c>
      <c r="S396">
        <f>SUM(O396:R396)</f>
        <v/>
      </c>
      <c r="T396" s="3">
        <f>IF(S396=0,"",O396/S396)</f>
        <v/>
      </c>
      <c r="U396" s="3">
        <f>IF(S396=0,"",P396/S396)</f>
        <v/>
      </c>
      <c r="V396" s="3">
        <f>IF(S396=0,"",Q396/S396)</f>
        <v/>
      </c>
      <c r="W396" s="3">
        <f>IF(S396=0,"",R396/S396)</f>
        <v/>
      </c>
      <c r="X396" s="4">
        <f>IF(S396=0,"",T396*Pesos!$B$2+U396*Pesos!$B$3+V396*Pesos!$B$4+W396*Pesos!$B$5)</f>
        <v/>
      </c>
    </row>
    <row r="397">
      <c r="A397" s="2" t="n">
        <v>396</v>
      </c>
      <c r="B397" t="n">
        <v>8</v>
      </c>
      <c r="C397" t="n">
        <v>500</v>
      </c>
      <c r="D397" t="n">
        <v>890</v>
      </c>
      <c r="E397" t="n">
        <v>645</v>
      </c>
      <c r="F397" t="n">
        <v>460</v>
      </c>
      <c r="G397" t="n">
        <v>470</v>
      </c>
      <c r="H397" t="n">
        <v>515</v>
      </c>
      <c r="I397" t="n">
        <v>1620</v>
      </c>
      <c r="J397" t="n">
        <v>1750</v>
      </c>
      <c r="K397" t="n">
        <v>1760</v>
      </c>
      <c r="L397" t="n">
        <v>2065</v>
      </c>
      <c r="M397" t="n">
        <v>610</v>
      </c>
      <c r="N397" s="6" t="n">
        <v>11285</v>
      </c>
      <c r="O397">
        <f>SUM(C397:H397)</f>
        <v/>
      </c>
      <c r="P397">
        <f>I397</f>
        <v/>
      </c>
      <c r="Q397">
        <f>J397</f>
        <v/>
      </c>
      <c r="R397">
        <f>SUM(K397:M397)</f>
        <v/>
      </c>
      <c r="S397">
        <f>SUM(O397:R397)</f>
        <v/>
      </c>
      <c r="T397" s="3">
        <f>IF(S397=0,"",O397/S397)</f>
        <v/>
      </c>
      <c r="U397" s="3">
        <f>IF(S397=0,"",P397/S397)</f>
        <v/>
      </c>
      <c r="V397" s="3">
        <f>IF(S397=0,"",Q397/S397)</f>
        <v/>
      </c>
      <c r="W397" s="3">
        <f>IF(S397=0,"",R397/S397)</f>
        <v/>
      </c>
      <c r="X397" s="4">
        <f>IF(S397=0,"",T397*Pesos!$B$2+U397*Pesos!$B$3+V397*Pesos!$B$4+W397*Pesos!$B$5)</f>
        <v/>
      </c>
    </row>
    <row r="398">
      <c r="A398" s="2" t="n">
        <v>397</v>
      </c>
      <c r="B398" t="n">
        <v>12</v>
      </c>
      <c r="C398" t="n">
        <v>685</v>
      </c>
      <c r="D398" t="n">
        <v>540</v>
      </c>
      <c r="E398" t="n">
        <v>1015</v>
      </c>
      <c r="F398" t="n">
        <v>790</v>
      </c>
      <c r="G398" t="n">
        <v>410</v>
      </c>
      <c r="H398" t="n">
        <v>455</v>
      </c>
      <c r="I398" t="n">
        <v>2150</v>
      </c>
      <c r="J398" t="n">
        <v>2175</v>
      </c>
      <c r="K398" t="n">
        <v>2430</v>
      </c>
      <c r="L398" t="n">
        <v>5120</v>
      </c>
      <c r="M398" t="n">
        <v>655</v>
      </c>
      <c r="N398" s="6" t="n">
        <v>16425</v>
      </c>
      <c r="O398">
        <f>SUM(C398:H398)</f>
        <v/>
      </c>
      <c r="P398">
        <f>I398</f>
        <v/>
      </c>
      <c r="Q398">
        <f>J398</f>
        <v/>
      </c>
      <c r="R398">
        <f>SUM(K398:M398)</f>
        <v/>
      </c>
      <c r="S398">
        <f>SUM(O398:R398)</f>
        <v/>
      </c>
      <c r="T398" s="3">
        <f>IF(S398=0,"",O398/S398)</f>
        <v/>
      </c>
      <c r="U398" s="3">
        <f>IF(S398=0,"",P398/S398)</f>
        <v/>
      </c>
      <c r="V398" s="3">
        <f>IF(S398=0,"",Q398/S398)</f>
        <v/>
      </c>
      <c r="W398" s="3">
        <f>IF(S398=0,"",R398/S398)</f>
        <v/>
      </c>
      <c r="X398" s="4">
        <f>IF(S398=0,"",T398*Pesos!$B$2+U398*Pesos!$B$3+V398*Pesos!$B$4+W398*Pesos!$B$5)</f>
        <v/>
      </c>
    </row>
    <row r="399">
      <c r="A399" s="2" t="n">
        <v>398</v>
      </c>
      <c r="B399" t="n">
        <v>7</v>
      </c>
      <c r="C399" t="n">
        <v>550</v>
      </c>
      <c r="D399" t="n">
        <v>915</v>
      </c>
      <c r="E399" t="n">
        <v>895</v>
      </c>
      <c r="F399" t="n">
        <v>470</v>
      </c>
      <c r="G399" t="n">
        <v>480</v>
      </c>
      <c r="H399" t="n">
        <v>490</v>
      </c>
      <c r="I399" t="n">
        <v>2720</v>
      </c>
      <c r="J399" t="n">
        <v>2680</v>
      </c>
      <c r="K399" t="n">
        <v>3765</v>
      </c>
      <c r="L399" t="n">
        <v>1340</v>
      </c>
      <c r="M399" s="7" t="n">
        <v>35</v>
      </c>
      <c r="N399" s="6" t="n">
        <v>14340</v>
      </c>
      <c r="O399">
        <f>SUM(C399:H399)</f>
        <v/>
      </c>
      <c r="P399">
        <f>I399</f>
        <v/>
      </c>
      <c r="Q399">
        <f>J399</f>
        <v/>
      </c>
      <c r="R399">
        <f>SUM(K399:M399)</f>
        <v/>
      </c>
      <c r="S399">
        <f>SUM(O399:R399)</f>
        <v/>
      </c>
      <c r="T399" s="3">
        <f>IF(S399=0,"",O399/S399)</f>
        <v/>
      </c>
      <c r="U399" s="3">
        <f>IF(S399=0,"",P399/S399)</f>
        <v/>
      </c>
      <c r="V399" s="3">
        <f>IF(S399=0,"",Q399/S399)</f>
        <v/>
      </c>
      <c r="W399" s="3">
        <f>IF(S399=0,"",R399/S399)</f>
        <v/>
      </c>
      <c r="X399" s="4">
        <f>IF(S399=0,"",T399*Pesos!$B$2+U399*Pesos!$B$3+V399*Pesos!$B$4+W399*Pesos!$B$5)</f>
        <v/>
      </c>
    </row>
    <row r="400">
      <c r="A400" s="2" t="n">
        <v>399</v>
      </c>
      <c r="B400" t="n">
        <v>8</v>
      </c>
      <c r="C400" t="n">
        <v>1055</v>
      </c>
      <c r="D400" t="n">
        <v>225</v>
      </c>
      <c r="E400" t="n">
        <v>285</v>
      </c>
      <c r="F400" t="n">
        <v>365</v>
      </c>
      <c r="G400" t="n">
        <v>330</v>
      </c>
      <c r="H400" t="n">
        <v>430</v>
      </c>
      <c r="I400" t="n">
        <v>1580</v>
      </c>
      <c r="J400" t="n">
        <v>1975</v>
      </c>
      <c r="K400" t="n">
        <v>2155</v>
      </c>
      <c r="L400" t="n">
        <v>2175</v>
      </c>
      <c r="M400" t="n">
        <v>315</v>
      </c>
      <c r="N400" s="6" t="n">
        <v>10895</v>
      </c>
      <c r="O400">
        <f>SUM(C400:H400)</f>
        <v/>
      </c>
      <c r="P400">
        <f>I400</f>
        <v/>
      </c>
      <c r="Q400">
        <f>J400</f>
        <v/>
      </c>
      <c r="R400">
        <f>SUM(K400:M400)</f>
        <v/>
      </c>
      <c r="S400">
        <f>SUM(O400:R400)</f>
        <v/>
      </c>
      <c r="T400" s="3">
        <f>IF(S400=0,"",O400/S400)</f>
        <v/>
      </c>
      <c r="U400" s="3">
        <f>IF(S400=0,"",P400/S400)</f>
        <v/>
      </c>
      <c r="V400" s="3">
        <f>IF(S400=0,"",Q400/S400)</f>
        <v/>
      </c>
      <c r="W400" s="3">
        <f>IF(S400=0,"",R400/S400)</f>
        <v/>
      </c>
      <c r="X400" s="4">
        <f>IF(S400=0,"",T400*Pesos!$B$2+U400*Pesos!$B$3+V400*Pesos!$B$4+W400*Pesos!$B$5)</f>
        <v/>
      </c>
    </row>
    <row r="401">
      <c r="A401" s="2" t="n">
        <v>400</v>
      </c>
      <c r="B401" t="n">
        <v>8</v>
      </c>
      <c r="C401" t="n">
        <v>520</v>
      </c>
      <c r="D401" t="n">
        <v>1270</v>
      </c>
      <c r="E401" t="n">
        <v>190</v>
      </c>
      <c r="F401" t="n">
        <v>365</v>
      </c>
      <c r="G401" t="n">
        <v>260</v>
      </c>
      <c r="H401" t="n">
        <v>255</v>
      </c>
      <c r="I401" t="n">
        <v>1475</v>
      </c>
      <c r="J401" t="n">
        <v>2180</v>
      </c>
      <c r="K401" t="n">
        <v>1810</v>
      </c>
      <c r="L401" t="n">
        <v>2775</v>
      </c>
      <c r="M401" t="n">
        <v>105</v>
      </c>
      <c r="N401" s="6" t="n">
        <v>11205</v>
      </c>
      <c r="O401">
        <f>SUM(C401:H401)</f>
        <v/>
      </c>
      <c r="P401">
        <f>I401</f>
        <v/>
      </c>
      <c r="Q401">
        <f>J401</f>
        <v/>
      </c>
      <c r="R401">
        <f>SUM(K401:M401)</f>
        <v/>
      </c>
      <c r="S401">
        <f>SUM(O401:R401)</f>
        <v/>
      </c>
      <c r="T401" s="3">
        <f>IF(S401=0,"",O401/S401)</f>
        <v/>
      </c>
      <c r="U401" s="3">
        <f>IF(S401=0,"",P401/S401)</f>
        <v/>
      </c>
      <c r="V401" s="3">
        <f>IF(S401=0,"",Q401/S401)</f>
        <v/>
      </c>
      <c r="W401" s="3">
        <f>IF(S401=0,"",R401/S401)</f>
        <v/>
      </c>
      <c r="X401" s="4">
        <f>IF(S401=0,"",T401*Pesos!$B$2+U401*Pesos!$B$3+V401*Pesos!$B$4+W401*Pesos!$B$5)</f>
        <v/>
      </c>
    </row>
    <row r="402">
      <c r="A402" s="2" t="n">
        <v>401</v>
      </c>
      <c r="B402" t="n">
        <v>9</v>
      </c>
      <c r="C402" t="n">
        <v>1070</v>
      </c>
      <c r="D402" t="n">
        <v>695</v>
      </c>
      <c r="E402" t="n">
        <v>750</v>
      </c>
      <c r="F402" t="n">
        <v>215</v>
      </c>
      <c r="G402" t="n">
        <v>550</v>
      </c>
      <c r="H402" t="n">
        <v>340</v>
      </c>
      <c r="I402" t="n">
        <v>2180</v>
      </c>
      <c r="J402" t="n">
        <v>1840</v>
      </c>
      <c r="K402" t="n">
        <v>1405</v>
      </c>
      <c r="L402" t="n">
        <v>2710</v>
      </c>
      <c r="M402" t="n">
        <v>550</v>
      </c>
      <c r="N402" s="6" t="n">
        <v>12310</v>
      </c>
      <c r="O402">
        <f>SUM(C402:H402)</f>
        <v/>
      </c>
      <c r="P402">
        <f>I402</f>
        <v/>
      </c>
      <c r="Q402">
        <f>J402</f>
        <v/>
      </c>
      <c r="R402">
        <f>SUM(K402:M402)</f>
        <v/>
      </c>
      <c r="S402">
        <f>SUM(O402:R402)</f>
        <v/>
      </c>
      <c r="T402" s="3">
        <f>IF(S402=0,"",O402/S402)</f>
        <v/>
      </c>
      <c r="U402" s="3">
        <f>IF(S402=0,"",P402/S402)</f>
        <v/>
      </c>
      <c r="V402" s="3">
        <f>IF(S402=0,"",Q402/S402)</f>
        <v/>
      </c>
      <c r="W402" s="3">
        <f>IF(S402=0,"",R402/S402)</f>
        <v/>
      </c>
      <c r="X402" s="4">
        <f>IF(S402=0,"",T402*Pesos!$B$2+U402*Pesos!$B$3+V402*Pesos!$B$4+W402*Pesos!$B$5)</f>
        <v/>
      </c>
    </row>
    <row r="403">
      <c r="A403" s="2" t="n">
        <v>402</v>
      </c>
      <c r="B403" t="n">
        <v>12</v>
      </c>
      <c r="C403" t="n">
        <v>690</v>
      </c>
      <c r="D403" t="n">
        <v>1075</v>
      </c>
      <c r="E403" t="n">
        <v>470</v>
      </c>
      <c r="F403" t="n">
        <v>465</v>
      </c>
      <c r="G403" t="n">
        <v>620</v>
      </c>
      <c r="H403" t="n">
        <v>540</v>
      </c>
      <c r="I403" t="n">
        <v>1920</v>
      </c>
      <c r="J403" t="n">
        <v>2975</v>
      </c>
      <c r="K403" t="n">
        <v>2965</v>
      </c>
      <c r="L403" t="n">
        <v>3635</v>
      </c>
      <c r="M403" t="n">
        <v>370</v>
      </c>
      <c r="N403" s="6" t="n">
        <v>15725</v>
      </c>
      <c r="O403">
        <f>SUM(C403:H403)</f>
        <v/>
      </c>
      <c r="P403">
        <f>I403</f>
        <v/>
      </c>
      <c r="Q403">
        <f>J403</f>
        <v/>
      </c>
      <c r="R403">
        <f>SUM(K403:M403)</f>
        <v/>
      </c>
      <c r="S403">
        <f>SUM(O403:R403)</f>
        <v/>
      </c>
      <c r="T403" s="3">
        <f>IF(S403=0,"",O403/S403)</f>
        <v/>
      </c>
      <c r="U403" s="3">
        <f>IF(S403=0,"",P403/S403)</f>
        <v/>
      </c>
      <c r="V403" s="3">
        <f>IF(S403=0,"",Q403/S403)</f>
        <v/>
      </c>
      <c r="W403" s="3">
        <f>IF(S403=0,"",R403/S403)</f>
        <v/>
      </c>
      <c r="X403" s="4">
        <f>IF(S403=0,"",T403*Pesos!$B$2+U403*Pesos!$B$3+V403*Pesos!$B$4+W403*Pesos!$B$5)</f>
        <v/>
      </c>
    </row>
    <row r="404">
      <c r="A404" s="2" t="n">
        <v>403</v>
      </c>
      <c r="B404" t="n">
        <v>8</v>
      </c>
      <c r="C404" t="n">
        <v>505</v>
      </c>
      <c r="D404" t="n">
        <v>980</v>
      </c>
      <c r="E404" t="n">
        <v>740</v>
      </c>
      <c r="F404" t="n">
        <v>470</v>
      </c>
      <c r="G404" t="n">
        <v>440</v>
      </c>
      <c r="H404" t="n">
        <v>765</v>
      </c>
      <c r="I404" t="n">
        <v>2000</v>
      </c>
      <c r="J404" t="n">
        <v>3200</v>
      </c>
      <c r="K404" t="n">
        <v>2970</v>
      </c>
      <c r="L404" t="n">
        <v>2280</v>
      </c>
      <c r="M404" t="n">
        <v>100</v>
      </c>
      <c r="N404" s="6" t="n">
        <v>14450</v>
      </c>
      <c r="O404">
        <f>SUM(C404:H404)</f>
        <v/>
      </c>
      <c r="P404">
        <f>I404</f>
        <v/>
      </c>
      <c r="Q404">
        <f>J404</f>
        <v/>
      </c>
      <c r="R404">
        <f>SUM(K404:M404)</f>
        <v/>
      </c>
      <c r="S404">
        <f>SUM(O404:R404)</f>
        <v/>
      </c>
      <c r="T404" s="3">
        <f>IF(S404=0,"",O404/S404)</f>
        <v/>
      </c>
      <c r="U404" s="3">
        <f>IF(S404=0,"",P404/S404)</f>
        <v/>
      </c>
      <c r="V404" s="3">
        <f>IF(S404=0,"",Q404/S404)</f>
        <v/>
      </c>
      <c r="W404" s="3">
        <f>IF(S404=0,"",R404/S404)</f>
        <v/>
      </c>
      <c r="X404" s="4">
        <f>IF(S404=0,"",T404*Pesos!$B$2+U404*Pesos!$B$3+V404*Pesos!$B$4+W404*Pesos!$B$5)</f>
        <v/>
      </c>
    </row>
    <row r="405">
      <c r="A405" s="2" t="n">
        <v>404</v>
      </c>
      <c r="B405" t="n">
        <v>8</v>
      </c>
      <c r="C405" t="n">
        <v>665</v>
      </c>
      <c r="D405" t="n">
        <v>890</v>
      </c>
      <c r="E405" t="n">
        <v>475</v>
      </c>
      <c r="F405" t="n">
        <v>240</v>
      </c>
      <c r="G405" t="n">
        <v>680</v>
      </c>
      <c r="H405" t="n">
        <v>630</v>
      </c>
      <c r="I405" t="n">
        <v>1260</v>
      </c>
      <c r="J405" t="n">
        <v>2315</v>
      </c>
      <c r="K405" t="n">
        <v>2510</v>
      </c>
      <c r="L405" t="n">
        <v>3405</v>
      </c>
      <c r="M405" t="n">
        <v>355</v>
      </c>
      <c r="N405" s="6" t="n">
        <v>13425</v>
      </c>
      <c r="O405">
        <f>SUM(C405:H405)</f>
        <v/>
      </c>
      <c r="P405">
        <f>I405</f>
        <v/>
      </c>
      <c r="Q405">
        <f>J405</f>
        <v/>
      </c>
      <c r="R405">
        <f>SUM(K405:M405)</f>
        <v/>
      </c>
      <c r="S405">
        <f>SUM(O405:R405)</f>
        <v/>
      </c>
      <c r="T405" s="3">
        <f>IF(S405=0,"",O405/S405)</f>
        <v/>
      </c>
      <c r="U405" s="3">
        <f>IF(S405=0,"",P405/S405)</f>
        <v/>
      </c>
      <c r="V405" s="3">
        <f>IF(S405=0,"",Q405/S405)</f>
        <v/>
      </c>
      <c r="W405" s="3">
        <f>IF(S405=0,"",R405/S405)</f>
        <v/>
      </c>
      <c r="X405" s="4">
        <f>IF(S405=0,"",T405*Pesos!$B$2+U405*Pesos!$B$3+V405*Pesos!$B$4+W405*Pesos!$B$5)</f>
        <v/>
      </c>
    </row>
    <row r="406">
      <c r="A406" s="2" t="n">
        <v>405</v>
      </c>
      <c r="B406" t="n">
        <v>10</v>
      </c>
      <c r="C406" t="n">
        <v>675</v>
      </c>
      <c r="D406" t="n">
        <v>670</v>
      </c>
      <c r="E406" t="n">
        <v>805</v>
      </c>
      <c r="F406" t="n">
        <v>615</v>
      </c>
      <c r="G406" t="n">
        <v>570</v>
      </c>
      <c r="H406" t="n">
        <v>920</v>
      </c>
      <c r="I406" t="n">
        <v>3585</v>
      </c>
      <c r="J406" t="n">
        <v>3580</v>
      </c>
      <c r="K406" t="n">
        <v>3140</v>
      </c>
      <c r="L406" t="n">
        <v>2825</v>
      </c>
      <c r="M406" t="n">
        <v>85</v>
      </c>
      <c r="N406" s="6" t="n">
        <v>17460</v>
      </c>
      <c r="O406">
        <f>SUM(C406:H406)</f>
        <v/>
      </c>
      <c r="P406">
        <f>I406</f>
        <v/>
      </c>
      <c r="Q406">
        <f>J406</f>
        <v/>
      </c>
      <c r="R406">
        <f>SUM(K406:M406)</f>
        <v/>
      </c>
      <c r="S406">
        <f>SUM(O406:R406)</f>
        <v/>
      </c>
      <c r="T406" s="3">
        <f>IF(S406=0,"",O406/S406)</f>
        <v/>
      </c>
      <c r="U406" s="3">
        <f>IF(S406=0,"",P406/S406)</f>
        <v/>
      </c>
      <c r="V406" s="3">
        <f>IF(S406=0,"",Q406/S406)</f>
        <v/>
      </c>
      <c r="W406" s="3">
        <f>IF(S406=0,"",R406/S406)</f>
        <v/>
      </c>
      <c r="X406" s="4">
        <f>IF(S406=0,"",T406*Pesos!$B$2+U406*Pesos!$B$3+V406*Pesos!$B$4+W406*Pesos!$B$5)</f>
        <v/>
      </c>
    </row>
    <row r="407">
      <c r="A407" s="2" t="n">
        <v>406</v>
      </c>
      <c r="B407" t="n">
        <v>12</v>
      </c>
      <c r="C407" t="n">
        <v>990</v>
      </c>
      <c r="D407" t="n">
        <v>1590</v>
      </c>
      <c r="E407" t="n">
        <v>1875</v>
      </c>
      <c r="F407" t="n">
        <v>1155</v>
      </c>
      <c r="G407" t="n">
        <v>565</v>
      </c>
      <c r="H407" t="n">
        <v>1525</v>
      </c>
      <c r="I407" t="n">
        <v>3185</v>
      </c>
      <c r="J407" t="n">
        <v>3875</v>
      </c>
      <c r="K407" t="n">
        <v>2650</v>
      </c>
      <c r="L407" t="n">
        <v>2505</v>
      </c>
      <c r="M407" t="n">
        <v>0</v>
      </c>
      <c r="N407" s="6" t="n">
        <v>19915</v>
      </c>
      <c r="O407">
        <f>SUM(C407:H407)</f>
        <v/>
      </c>
      <c r="P407">
        <f>I407</f>
        <v/>
      </c>
      <c r="Q407">
        <f>J407</f>
        <v/>
      </c>
      <c r="R407">
        <f>SUM(K407:M407)</f>
        <v/>
      </c>
      <c r="S407">
        <f>SUM(O407:R407)</f>
        <v/>
      </c>
      <c r="T407" s="3">
        <f>IF(S407=0,"",O407/S407)</f>
        <v/>
      </c>
      <c r="U407" s="3">
        <f>IF(S407=0,"",P407/S407)</f>
        <v/>
      </c>
      <c r="V407" s="3">
        <f>IF(S407=0,"",Q407/S407)</f>
        <v/>
      </c>
      <c r="W407" s="3">
        <f>IF(S407=0,"",R407/S407)</f>
        <v/>
      </c>
      <c r="X407" s="4">
        <f>IF(S407=0,"",T407*Pesos!$B$2+U407*Pesos!$B$3+V407*Pesos!$B$4+W407*Pesos!$B$5)</f>
        <v/>
      </c>
    </row>
    <row r="408">
      <c r="A408" s="2" t="n">
        <v>407</v>
      </c>
      <c r="B408" t="n">
        <v>9</v>
      </c>
      <c r="C408" t="n">
        <v>620</v>
      </c>
      <c r="D408" t="n">
        <v>385</v>
      </c>
      <c r="E408" t="n">
        <v>630</v>
      </c>
      <c r="F408" t="n">
        <v>485</v>
      </c>
      <c r="G408" t="n">
        <v>945</v>
      </c>
      <c r="H408" t="n">
        <v>1100</v>
      </c>
      <c r="I408" t="n">
        <v>4395</v>
      </c>
      <c r="J408" t="n">
        <v>5400</v>
      </c>
      <c r="K408" t="n">
        <v>2365</v>
      </c>
      <c r="L408" t="n">
        <v>295</v>
      </c>
      <c r="M408" t="n">
        <v>75</v>
      </c>
      <c r="N408" s="6" t="n">
        <v>16700</v>
      </c>
      <c r="O408">
        <f>SUM(C408:H408)</f>
        <v/>
      </c>
      <c r="P408">
        <f>I408</f>
        <v/>
      </c>
      <c r="Q408">
        <f>J408</f>
        <v/>
      </c>
      <c r="R408">
        <f>SUM(K408:M408)</f>
        <v/>
      </c>
      <c r="S408">
        <f>SUM(O408:R408)</f>
        <v/>
      </c>
      <c r="T408" s="3">
        <f>IF(S408=0,"",O408/S408)</f>
        <v/>
      </c>
      <c r="U408" s="3">
        <f>IF(S408=0,"",P408/S408)</f>
        <v/>
      </c>
      <c r="V408" s="3">
        <f>IF(S408=0,"",Q408/S408)</f>
        <v/>
      </c>
      <c r="W408" s="3">
        <f>IF(S408=0,"",R408/S408)</f>
        <v/>
      </c>
      <c r="X408" s="4">
        <f>IF(S408=0,"",T408*Pesos!$B$2+U408*Pesos!$B$3+V408*Pesos!$B$4+W408*Pesos!$B$5)</f>
        <v/>
      </c>
    </row>
    <row r="409">
      <c r="A409" s="2" t="n">
        <v>408</v>
      </c>
      <c r="B409" t="n">
        <v>12</v>
      </c>
      <c r="C409" t="n">
        <v>2055</v>
      </c>
      <c r="D409" t="n">
        <v>3025</v>
      </c>
      <c r="E409" t="n">
        <v>2670</v>
      </c>
      <c r="F409" t="n">
        <v>1850</v>
      </c>
      <c r="G409" t="n">
        <v>1350</v>
      </c>
      <c r="H409" t="n">
        <v>1580</v>
      </c>
      <c r="I409" t="n">
        <v>4180</v>
      </c>
      <c r="J409" t="n">
        <v>4540</v>
      </c>
      <c r="K409" t="n">
        <v>1755</v>
      </c>
      <c r="L409" t="n">
        <v>825</v>
      </c>
      <c r="M409" t="n">
        <v>800</v>
      </c>
      <c r="N409" s="6" t="n">
        <v>24640</v>
      </c>
      <c r="O409">
        <f>SUM(C409:H409)</f>
        <v/>
      </c>
      <c r="P409">
        <f>I409</f>
        <v/>
      </c>
      <c r="Q409">
        <f>J409</f>
        <v/>
      </c>
      <c r="R409">
        <f>SUM(K409:M409)</f>
        <v/>
      </c>
      <c r="S409">
        <f>SUM(O409:R409)</f>
        <v/>
      </c>
      <c r="T409" s="3">
        <f>IF(S409=0,"",O409/S409)</f>
        <v/>
      </c>
      <c r="U409" s="3">
        <f>IF(S409=0,"",P409/S409)</f>
        <v/>
      </c>
      <c r="V409" s="3">
        <f>IF(S409=0,"",Q409/S409)</f>
        <v/>
      </c>
      <c r="W409" s="3">
        <f>IF(S409=0,"",R409/S409)</f>
        <v/>
      </c>
      <c r="X409" s="4">
        <f>IF(S409=0,"",T409*Pesos!$B$2+U409*Pesos!$B$3+V409*Pesos!$B$4+W409*Pesos!$B$5)</f>
        <v/>
      </c>
    </row>
    <row r="410">
      <c r="A410" s="2" t="n">
        <v>409</v>
      </c>
      <c r="B410" t="n">
        <v>8</v>
      </c>
      <c r="C410" t="n">
        <v>1425</v>
      </c>
      <c r="D410" t="n">
        <v>1410</v>
      </c>
      <c r="E410" t="n">
        <v>880</v>
      </c>
      <c r="F410" t="n">
        <v>990</v>
      </c>
      <c r="G410" t="n">
        <v>770</v>
      </c>
      <c r="H410" t="n">
        <v>605</v>
      </c>
      <c r="I410" t="n">
        <v>3480</v>
      </c>
      <c r="J410" t="n">
        <v>2050</v>
      </c>
      <c r="K410" t="n">
        <v>955</v>
      </c>
      <c r="L410" t="n">
        <v>1715</v>
      </c>
      <c r="M410" t="n">
        <v>710</v>
      </c>
      <c r="N410" s="6" t="n">
        <v>14985</v>
      </c>
      <c r="O410">
        <f>SUM(C410:H410)</f>
        <v/>
      </c>
      <c r="P410">
        <f>I410</f>
        <v/>
      </c>
      <c r="Q410">
        <f>J410</f>
        <v/>
      </c>
      <c r="R410">
        <f>SUM(K410:M410)</f>
        <v/>
      </c>
      <c r="S410">
        <f>SUM(O410:R410)</f>
        <v/>
      </c>
      <c r="T410" s="3">
        <f>IF(S410=0,"",O410/S410)</f>
        <v/>
      </c>
      <c r="U410" s="3">
        <f>IF(S410=0,"",P410/S410)</f>
        <v/>
      </c>
      <c r="V410" s="3">
        <f>IF(S410=0,"",Q410/S410)</f>
        <v/>
      </c>
      <c r="W410" s="3">
        <f>IF(S410=0,"",R410/S410)</f>
        <v/>
      </c>
      <c r="X410" s="4">
        <f>IF(S410=0,"",T410*Pesos!$B$2+U410*Pesos!$B$3+V410*Pesos!$B$4+W410*Pesos!$B$5)</f>
        <v/>
      </c>
    </row>
    <row r="411">
      <c r="A411" s="2" t="n">
        <v>410</v>
      </c>
      <c r="B411" t="n">
        <v>11</v>
      </c>
      <c r="C411" t="n">
        <v>1090</v>
      </c>
      <c r="D411" t="n">
        <v>1685</v>
      </c>
      <c r="E411" t="n">
        <v>1125</v>
      </c>
      <c r="F411" t="n">
        <v>1190</v>
      </c>
      <c r="G411" t="n">
        <v>1285</v>
      </c>
      <c r="H411" t="n">
        <v>1260</v>
      </c>
      <c r="I411" t="n">
        <v>5015</v>
      </c>
      <c r="J411" t="n">
        <v>3605</v>
      </c>
      <c r="K411" t="n">
        <v>2710</v>
      </c>
      <c r="L411" t="n">
        <v>2430</v>
      </c>
      <c r="M411" t="n">
        <v>120</v>
      </c>
      <c r="N411" s="6" t="n">
        <v>21515</v>
      </c>
      <c r="O411">
        <f>SUM(C411:H411)</f>
        <v/>
      </c>
      <c r="P411">
        <f>I411</f>
        <v/>
      </c>
      <c r="Q411">
        <f>J411</f>
        <v/>
      </c>
      <c r="R411">
        <f>SUM(K411:M411)</f>
        <v/>
      </c>
      <c r="S411">
        <f>SUM(O411:R411)</f>
        <v/>
      </c>
      <c r="T411" s="3">
        <f>IF(S411=0,"",O411/S411)</f>
        <v/>
      </c>
      <c r="U411" s="3">
        <f>IF(S411=0,"",P411/S411)</f>
        <v/>
      </c>
      <c r="V411" s="3">
        <f>IF(S411=0,"",Q411/S411)</f>
        <v/>
      </c>
      <c r="W411" s="3">
        <f>IF(S411=0,"",R411/S411)</f>
        <v/>
      </c>
      <c r="X411" s="4">
        <f>IF(S411=0,"",T411*Pesos!$B$2+U411*Pesos!$B$3+V411*Pesos!$B$4+W411*Pesos!$B$5)</f>
        <v/>
      </c>
    </row>
    <row r="412">
      <c r="A412" s="2" t="n">
        <v>411</v>
      </c>
      <c r="B412" t="n">
        <v>9</v>
      </c>
      <c r="C412" t="n">
        <v>490</v>
      </c>
      <c r="D412" t="n">
        <v>1220</v>
      </c>
      <c r="E412" t="n">
        <v>790</v>
      </c>
      <c r="F412" t="n">
        <v>395</v>
      </c>
      <c r="G412" t="n">
        <v>1040</v>
      </c>
      <c r="H412" t="n">
        <v>690</v>
      </c>
      <c r="I412" t="n">
        <v>2550</v>
      </c>
      <c r="J412" t="n">
        <v>2285</v>
      </c>
      <c r="K412" t="n">
        <v>2180</v>
      </c>
      <c r="L412" t="n">
        <v>2565</v>
      </c>
      <c r="M412" t="n">
        <v>150</v>
      </c>
      <c r="N412" s="6" t="n">
        <v>14350</v>
      </c>
      <c r="O412">
        <f>SUM(C412:H412)</f>
        <v/>
      </c>
      <c r="P412">
        <f>I412</f>
        <v/>
      </c>
      <c r="Q412">
        <f>J412</f>
        <v/>
      </c>
      <c r="R412">
        <f>SUM(K412:M412)</f>
        <v/>
      </c>
      <c r="S412">
        <f>SUM(O412:R412)</f>
        <v/>
      </c>
      <c r="T412" s="3">
        <f>IF(S412=0,"",O412/S412)</f>
        <v/>
      </c>
      <c r="U412" s="3">
        <f>IF(S412=0,"",P412/S412)</f>
        <v/>
      </c>
      <c r="V412" s="3">
        <f>IF(S412=0,"",Q412/S412)</f>
        <v/>
      </c>
      <c r="W412" s="3">
        <f>IF(S412=0,"",R412/S412)</f>
        <v/>
      </c>
      <c r="X412" s="4">
        <f>IF(S412=0,"",T412*Pesos!$B$2+U412*Pesos!$B$3+V412*Pesos!$B$4+W412*Pesos!$B$5)</f>
        <v/>
      </c>
    </row>
    <row r="413">
      <c r="A413" s="2" t="n">
        <v>412</v>
      </c>
      <c r="B413" t="n">
        <v>8</v>
      </c>
      <c r="C413" t="n">
        <v>2165</v>
      </c>
      <c r="D413" t="n">
        <v>1980</v>
      </c>
      <c r="E413" t="n">
        <v>820</v>
      </c>
      <c r="F413" t="n">
        <v>465</v>
      </c>
      <c r="G413" t="n">
        <v>490</v>
      </c>
      <c r="H413" t="n">
        <v>980</v>
      </c>
      <c r="I413" t="n">
        <v>3560</v>
      </c>
      <c r="J413" t="n">
        <v>2385</v>
      </c>
      <c r="K413" t="n">
        <v>1270</v>
      </c>
      <c r="L413" t="n">
        <v>1580</v>
      </c>
      <c r="M413" t="n">
        <v>330</v>
      </c>
      <c r="N413" s="6" t="n">
        <v>16020</v>
      </c>
      <c r="O413">
        <f>SUM(C413:H413)</f>
        <v/>
      </c>
      <c r="P413">
        <f>I413</f>
        <v/>
      </c>
      <c r="Q413">
        <f>J413</f>
        <v/>
      </c>
      <c r="R413">
        <f>SUM(K413:M413)</f>
        <v/>
      </c>
      <c r="S413">
        <f>SUM(O413:R413)</f>
        <v/>
      </c>
      <c r="T413" s="3">
        <f>IF(S413=0,"",O413/S413)</f>
        <v/>
      </c>
      <c r="U413" s="3">
        <f>IF(S413=0,"",P413/S413)</f>
        <v/>
      </c>
      <c r="V413" s="3">
        <f>IF(S413=0,"",Q413/S413)</f>
        <v/>
      </c>
      <c r="W413" s="3">
        <f>IF(S413=0,"",R413/S413)</f>
        <v/>
      </c>
      <c r="X413" s="4">
        <f>IF(S413=0,"",T413*Pesos!$B$2+U413*Pesos!$B$3+V413*Pesos!$B$4+W413*Pesos!$B$5)</f>
        <v/>
      </c>
    </row>
    <row r="414">
      <c r="A414" s="2" t="n">
        <v>413</v>
      </c>
      <c r="B414" t="n">
        <v>11</v>
      </c>
      <c r="C414" t="n">
        <v>1575</v>
      </c>
      <c r="D414" t="n">
        <v>1895</v>
      </c>
      <c r="E414" t="n">
        <v>2535</v>
      </c>
      <c r="F414" t="n">
        <v>3945</v>
      </c>
      <c r="G414" t="n">
        <v>6015</v>
      </c>
      <c r="H414" t="n">
        <v>1235</v>
      </c>
      <c r="I414" t="n">
        <v>1660</v>
      </c>
      <c r="J414" t="n">
        <v>1250</v>
      </c>
      <c r="K414" t="n">
        <v>1130</v>
      </c>
      <c r="L414" t="n">
        <v>530</v>
      </c>
      <c r="M414" s="7" t="n">
        <v>35</v>
      </c>
      <c r="N414" s="6" t="n">
        <v>21805</v>
      </c>
      <c r="O414">
        <f>SUM(C414:H414)</f>
        <v/>
      </c>
      <c r="P414">
        <f>I414</f>
        <v/>
      </c>
      <c r="Q414">
        <f>J414</f>
        <v/>
      </c>
      <c r="R414">
        <f>SUM(K414:M414)</f>
        <v/>
      </c>
      <c r="S414">
        <f>SUM(O414:R414)</f>
        <v/>
      </c>
      <c r="T414" s="3">
        <f>IF(S414=0,"",O414/S414)</f>
        <v/>
      </c>
      <c r="U414" s="3">
        <f>IF(S414=0,"",P414/S414)</f>
        <v/>
      </c>
      <c r="V414" s="3">
        <f>IF(S414=0,"",Q414/S414)</f>
        <v/>
      </c>
      <c r="W414" s="3">
        <f>IF(S414=0,"",R414/S414)</f>
        <v/>
      </c>
      <c r="X414" s="4">
        <f>IF(S414=0,"",T414*Pesos!$B$2+U414*Pesos!$B$3+V414*Pesos!$B$4+W414*Pesos!$B$5)</f>
        <v/>
      </c>
    </row>
    <row r="415">
      <c r="A415" s="2" t="n">
        <v>414</v>
      </c>
      <c r="B415" t="n">
        <v>8</v>
      </c>
      <c r="C415" t="n">
        <v>670</v>
      </c>
      <c r="D415" t="n">
        <v>1815</v>
      </c>
      <c r="E415" t="n">
        <v>2305</v>
      </c>
      <c r="F415" t="n">
        <v>2210</v>
      </c>
      <c r="G415" t="n">
        <v>2660</v>
      </c>
      <c r="H415" t="n">
        <v>1460</v>
      </c>
      <c r="I415" t="n">
        <v>3390</v>
      </c>
      <c r="J415" t="n">
        <v>3550</v>
      </c>
      <c r="K415" t="n">
        <v>455</v>
      </c>
      <c r="L415" t="n">
        <v>180</v>
      </c>
      <c r="M415" t="n">
        <v>0</v>
      </c>
      <c r="N415" s="6" t="n">
        <v>18695</v>
      </c>
      <c r="O415">
        <f>SUM(C415:H415)</f>
        <v/>
      </c>
      <c r="P415">
        <f>I415</f>
        <v/>
      </c>
      <c r="Q415">
        <f>J415</f>
        <v/>
      </c>
      <c r="R415">
        <f>SUM(K415:M415)</f>
        <v/>
      </c>
      <c r="S415">
        <f>SUM(O415:R415)</f>
        <v/>
      </c>
      <c r="T415" s="3">
        <f>IF(S415=0,"",O415/S415)</f>
        <v/>
      </c>
      <c r="U415" s="3">
        <f>IF(S415=0,"",P415/S415)</f>
        <v/>
      </c>
      <c r="V415" s="3">
        <f>IF(S415=0,"",Q415/S415)</f>
        <v/>
      </c>
      <c r="W415" s="3">
        <f>IF(S415=0,"",R415/S415)</f>
        <v/>
      </c>
      <c r="X415" s="4">
        <f>IF(S415=0,"",T415*Pesos!$B$2+U415*Pesos!$B$3+V415*Pesos!$B$4+W415*Pesos!$B$5)</f>
        <v/>
      </c>
    </row>
    <row r="416">
      <c r="A416" s="2" t="n">
        <v>415</v>
      </c>
      <c r="B416" t="n">
        <v>7</v>
      </c>
      <c r="C416" t="n">
        <v>760</v>
      </c>
      <c r="D416" t="n">
        <v>1030</v>
      </c>
      <c r="E416" t="n">
        <v>1195</v>
      </c>
      <c r="F416" t="n">
        <v>1165</v>
      </c>
      <c r="G416" t="n">
        <v>1195</v>
      </c>
      <c r="H416" t="n">
        <v>2030</v>
      </c>
      <c r="I416" t="n">
        <v>4820</v>
      </c>
      <c r="J416" t="n">
        <v>2020</v>
      </c>
      <c r="K416" t="n">
        <v>80</v>
      </c>
      <c r="L416" t="n">
        <v>125</v>
      </c>
      <c r="M416" s="7" t="n">
        <v>40</v>
      </c>
      <c r="N416" s="6" t="n">
        <v>14455</v>
      </c>
      <c r="O416">
        <f>SUM(C416:H416)</f>
        <v/>
      </c>
      <c r="P416">
        <f>I416</f>
        <v/>
      </c>
      <c r="Q416">
        <f>J416</f>
        <v/>
      </c>
      <c r="R416">
        <f>SUM(K416:M416)</f>
        <v/>
      </c>
      <c r="S416">
        <f>SUM(O416:R416)</f>
        <v/>
      </c>
      <c r="T416" s="3">
        <f>IF(S416=0,"",O416/S416)</f>
        <v/>
      </c>
      <c r="U416" s="3">
        <f>IF(S416=0,"",P416/S416)</f>
        <v/>
      </c>
      <c r="V416" s="3">
        <f>IF(S416=0,"",Q416/S416)</f>
        <v/>
      </c>
      <c r="W416" s="3">
        <f>IF(S416=0,"",R416/S416)</f>
        <v/>
      </c>
      <c r="X416" s="4">
        <f>IF(S416=0,"",T416*Pesos!$B$2+U416*Pesos!$B$3+V416*Pesos!$B$4+W416*Pesos!$B$5)</f>
        <v/>
      </c>
    </row>
    <row r="417">
      <c r="A417" s="2" t="n">
        <v>416</v>
      </c>
      <c r="B417" t="n">
        <v>9</v>
      </c>
      <c r="C417" t="n">
        <v>805</v>
      </c>
      <c r="D417" t="n">
        <v>840</v>
      </c>
      <c r="E417" t="n">
        <v>1185</v>
      </c>
      <c r="F417" t="n">
        <v>1095</v>
      </c>
      <c r="G417" t="n">
        <v>940</v>
      </c>
      <c r="H417" t="n">
        <v>905</v>
      </c>
      <c r="I417" t="n">
        <v>3295</v>
      </c>
      <c r="J417" t="n">
        <v>2700</v>
      </c>
      <c r="K417" t="n">
        <v>1575</v>
      </c>
      <c r="L417" t="n">
        <v>1110</v>
      </c>
      <c r="M417" t="n">
        <v>1055</v>
      </c>
      <c r="N417" s="6" t="n">
        <v>15500</v>
      </c>
      <c r="O417">
        <f>SUM(C417:H417)</f>
        <v/>
      </c>
      <c r="P417">
        <f>I417</f>
        <v/>
      </c>
      <c r="Q417">
        <f>J417</f>
        <v/>
      </c>
      <c r="R417">
        <f>SUM(K417:M417)</f>
        <v/>
      </c>
      <c r="S417">
        <f>SUM(O417:R417)</f>
        <v/>
      </c>
      <c r="T417" s="3">
        <f>IF(S417=0,"",O417/S417)</f>
        <v/>
      </c>
      <c r="U417" s="3">
        <f>IF(S417=0,"",P417/S417)</f>
        <v/>
      </c>
      <c r="V417" s="3">
        <f>IF(S417=0,"",Q417/S417)</f>
        <v/>
      </c>
      <c r="W417" s="3">
        <f>IF(S417=0,"",R417/S417)</f>
        <v/>
      </c>
      <c r="X417" s="4">
        <f>IF(S417=0,"",T417*Pesos!$B$2+U417*Pesos!$B$3+V417*Pesos!$B$4+W417*Pesos!$B$5)</f>
        <v/>
      </c>
    </row>
    <row r="418">
      <c r="A418" s="2" t="n">
        <v>417</v>
      </c>
      <c r="B418" t="n">
        <v>14</v>
      </c>
      <c r="C418" t="n">
        <v>1730</v>
      </c>
      <c r="D418" t="n">
        <v>1850</v>
      </c>
      <c r="E418" t="n">
        <v>1355</v>
      </c>
      <c r="F418" t="n">
        <v>715</v>
      </c>
      <c r="G418" t="n">
        <v>1160</v>
      </c>
      <c r="H418" t="n">
        <v>765</v>
      </c>
      <c r="I418" t="n">
        <v>3340</v>
      </c>
      <c r="J418" t="n">
        <v>5890</v>
      </c>
      <c r="K418" t="n">
        <v>2840</v>
      </c>
      <c r="L418" t="n">
        <v>2225</v>
      </c>
      <c r="M418" t="n">
        <v>755</v>
      </c>
      <c r="N418" s="6" t="n">
        <v>22625</v>
      </c>
      <c r="O418">
        <f>SUM(C418:H418)</f>
        <v/>
      </c>
      <c r="P418">
        <f>I418</f>
        <v/>
      </c>
      <c r="Q418">
        <f>J418</f>
        <v/>
      </c>
      <c r="R418">
        <f>SUM(K418:M418)</f>
        <v/>
      </c>
      <c r="S418">
        <f>SUM(O418:R418)</f>
        <v/>
      </c>
      <c r="T418" s="3">
        <f>IF(S418=0,"",O418/S418)</f>
        <v/>
      </c>
      <c r="U418" s="3">
        <f>IF(S418=0,"",P418/S418)</f>
        <v/>
      </c>
      <c r="V418" s="3">
        <f>IF(S418=0,"",Q418/S418)</f>
        <v/>
      </c>
      <c r="W418" s="3">
        <f>IF(S418=0,"",R418/S418)</f>
        <v/>
      </c>
      <c r="X418" s="4">
        <f>IF(S418=0,"",T418*Pesos!$B$2+U418*Pesos!$B$3+V418*Pesos!$B$4+W418*Pesos!$B$5)</f>
        <v/>
      </c>
    </row>
    <row r="419">
      <c r="A419" s="2" t="n">
        <v>418</v>
      </c>
      <c r="B419" t="n">
        <v>8</v>
      </c>
      <c r="C419" t="n">
        <v>925</v>
      </c>
      <c r="D419" t="n">
        <v>1230</v>
      </c>
      <c r="E419" t="n">
        <v>1055</v>
      </c>
      <c r="F419" t="n">
        <v>485</v>
      </c>
      <c r="G419" t="n">
        <v>540</v>
      </c>
      <c r="H419" t="n">
        <v>970</v>
      </c>
      <c r="I419" t="n">
        <v>3330</v>
      </c>
      <c r="J419" t="n">
        <v>3935</v>
      </c>
      <c r="K419" t="n">
        <v>2310</v>
      </c>
      <c r="L419" t="n">
        <v>650</v>
      </c>
      <c r="M419" t="n">
        <v>100</v>
      </c>
      <c r="N419" s="6" t="n">
        <v>15530</v>
      </c>
      <c r="O419">
        <f>SUM(C419:H419)</f>
        <v/>
      </c>
      <c r="P419">
        <f>I419</f>
        <v/>
      </c>
      <c r="Q419">
        <f>J419</f>
        <v/>
      </c>
      <c r="R419">
        <f>SUM(K419:M419)</f>
        <v/>
      </c>
      <c r="S419">
        <f>SUM(O419:R419)</f>
        <v/>
      </c>
      <c r="T419" s="3">
        <f>IF(S419=0,"",O419/S419)</f>
        <v/>
      </c>
      <c r="U419" s="3">
        <f>IF(S419=0,"",P419/S419)</f>
        <v/>
      </c>
      <c r="V419" s="3">
        <f>IF(S419=0,"",Q419/S419)</f>
        <v/>
      </c>
      <c r="W419" s="3">
        <f>IF(S419=0,"",R419/S419)</f>
        <v/>
      </c>
      <c r="X419" s="4">
        <f>IF(S419=0,"",T419*Pesos!$B$2+U419*Pesos!$B$3+V419*Pesos!$B$4+W419*Pesos!$B$5)</f>
        <v/>
      </c>
    </row>
    <row r="420">
      <c r="A420" s="2" t="n">
        <v>419</v>
      </c>
      <c r="B420" t="n">
        <v>8</v>
      </c>
      <c r="C420" t="n">
        <v>735</v>
      </c>
      <c r="D420" t="n">
        <v>630</v>
      </c>
      <c r="E420" t="n">
        <v>545</v>
      </c>
      <c r="F420" t="n">
        <v>465</v>
      </c>
      <c r="G420" t="n">
        <v>220</v>
      </c>
      <c r="H420" t="n">
        <v>670</v>
      </c>
      <c r="I420" t="n">
        <v>1350</v>
      </c>
      <c r="J420" t="n">
        <v>1460</v>
      </c>
      <c r="K420" t="n">
        <v>1350</v>
      </c>
      <c r="L420" t="n">
        <v>1060</v>
      </c>
      <c r="M420" t="n">
        <v>745</v>
      </c>
      <c r="N420" s="6" t="n">
        <v>9240</v>
      </c>
      <c r="O420">
        <f>SUM(C420:H420)</f>
        <v/>
      </c>
      <c r="P420">
        <f>I420</f>
        <v/>
      </c>
      <c r="Q420">
        <f>J420</f>
        <v/>
      </c>
      <c r="R420">
        <f>SUM(K420:M420)</f>
        <v/>
      </c>
      <c r="S420">
        <f>SUM(O420:R420)</f>
        <v/>
      </c>
      <c r="T420" s="3">
        <f>IF(S420=0,"",O420/S420)</f>
        <v/>
      </c>
      <c r="U420" s="3">
        <f>IF(S420=0,"",P420/S420)</f>
        <v/>
      </c>
      <c r="V420" s="3">
        <f>IF(S420=0,"",Q420/S420)</f>
        <v/>
      </c>
      <c r="W420" s="3">
        <f>IF(S420=0,"",R420/S420)</f>
        <v/>
      </c>
      <c r="X420" s="4">
        <f>IF(S420=0,"",T420*Pesos!$B$2+U420*Pesos!$B$3+V420*Pesos!$B$4+W420*Pesos!$B$5)</f>
        <v/>
      </c>
    </row>
    <row r="421">
      <c r="A421" s="2" t="n">
        <v>420</v>
      </c>
      <c r="B421" t="n">
        <v>9</v>
      </c>
      <c r="C421" t="n">
        <v>515</v>
      </c>
      <c r="D421" t="n">
        <v>1010</v>
      </c>
      <c r="E421" t="n">
        <v>715</v>
      </c>
      <c r="F421" t="n">
        <v>840</v>
      </c>
      <c r="G421" t="n">
        <v>430</v>
      </c>
      <c r="H421" t="n">
        <v>790</v>
      </c>
      <c r="I421" t="n">
        <v>1840</v>
      </c>
      <c r="J421" t="n">
        <v>2370</v>
      </c>
      <c r="K421" t="n">
        <v>2215</v>
      </c>
      <c r="L421" t="n">
        <v>1120</v>
      </c>
      <c r="M421" t="n">
        <v>580</v>
      </c>
      <c r="N421" s="6" t="n">
        <v>12430</v>
      </c>
      <c r="O421">
        <f>SUM(C421:H421)</f>
        <v/>
      </c>
      <c r="P421">
        <f>I421</f>
        <v/>
      </c>
      <c r="Q421">
        <f>J421</f>
        <v/>
      </c>
      <c r="R421">
        <f>SUM(K421:M421)</f>
        <v/>
      </c>
      <c r="S421">
        <f>SUM(O421:R421)</f>
        <v/>
      </c>
      <c r="T421" s="3">
        <f>IF(S421=0,"",O421/S421)</f>
        <v/>
      </c>
      <c r="U421" s="3">
        <f>IF(S421=0,"",P421/S421)</f>
        <v/>
      </c>
      <c r="V421" s="3">
        <f>IF(S421=0,"",Q421/S421)</f>
        <v/>
      </c>
      <c r="W421" s="3">
        <f>IF(S421=0,"",R421/S421)</f>
        <v/>
      </c>
      <c r="X421" s="4">
        <f>IF(S421=0,"",T421*Pesos!$B$2+U421*Pesos!$B$3+V421*Pesos!$B$4+W421*Pesos!$B$5)</f>
        <v/>
      </c>
    </row>
    <row r="422">
      <c r="A422" s="2" t="n">
        <v>421</v>
      </c>
      <c r="B422" t="n">
        <v>8</v>
      </c>
      <c r="C422" t="n">
        <v>510</v>
      </c>
      <c r="D422" t="n">
        <v>875</v>
      </c>
      <c r="E422" t="n">
        <v>775</v>
      </c>
      <c r="F422" t="n">
        <v>425</v>
      </c>
      <c r="G422" t="n">
        <v>550</v>
      </c>
      <c r="H422" t="n">
        <v>575</v>
      </c>
      <c r="I422" t="n">
        <v>5080</v>
      </c>
      <c r="J422" t="n">
        <v>3035</v>
      </c>
      <c r="K422" t="n">
        <v>1485</v>
      </c>
      <c r="L422" t="n">
        <v>215</v>
      </c>
      <c r="M422" t="n">
        <v>120</v>
      </c>
      <c r="N422" s="6" t="n">
        <v>13640</v>
      </c>
      <c r="O422">
        <f>SUM(C422:H422)</f>
        <v/>
      </c>
      <c r="P422">
        <f>I422</f>
        <v/>
      </c>
      <c r="Q422">
        <f>J422</f>
        <v/>
      </c>
      <c r="R422">
        <f>SUM(K422:M422)</f>
        <v/>
      </c>
      <c r="S422">
        <f>SUM(O422:R422)</f>
        <v/>
      </c>
      <c r="T422" s="3">
        <f>IF(S422=0,"",O422/S422)</f>
        <v/>
      </c>
      <c r="U422" s="3">
        <f>IF(S422=0,"",P422/S422)</f>
        <v/>
      </c>
      <c r="V422" s="3">
        <f>IF(S422=0,"",Q422/S422)</f>
        <v/>
      </c>
      <c r="W422" s="3">
        <f>IF(S422=0,"",R422/S422)</f>
        <v/>
      </c>
      <c r="X422" s="4">
        <f>IF(S422=0,"",T422*Pesos!$B$2+U422*Pesos!$B$3+V422*Pesos!$B$4+W422*Pesos!$B$5)</f>
        <v/>
      </c>
    </row>
    <row r="423">
      <c r="A423" s="2" t="n">
        <v>422</v>
      </c>
      <c r="B423" t="n">
        <v>7</v>
      </c>
      <c r="C423" t="n">
        <v>620</v>
      </c>
      <c r="D423" t="n">
        <v>1095</v>
      </c>
      <c r="E423" t="n">
        <v>640</v>
      </c>
      <c r="F423" t="n">
        <v>610</v>
      </c>
      <c r="G423" t="n">
        <v>910</v>
      </c>
      <c r="H423" t="n">
        <v>510</v>
      </c>
      <c r="I423" t="n">
        <v>3555</v>
      </c>
      <c r="J423" t="n">
        <v>6865</v>
      </c>
      <c r="K423" t="n">
        <v>1230</v>
      </c>
      <c r="L423" s="7" t="n">
        <v>30</v>
      </c>
      <c r="M423" s="7" t="n">
        <v>55</v>
      </c>
      <c r="N423" s="6" t="n">
        <v>16120</v>
      </c>
      <c r="O423">
        <f>SUM(C423:H423)</f>
        <v/>
      </c>
      <c r="P423">
        <f>I423</f>
        <v/>
      </c>
      <c r="Q423">
        <f>J423</f>
        <v/>
      </c>
      <c r="R423">
        <f>SUM(K423:M423)</f>
        <v/>
      </c>
      <c r="S423">
        <f>SUM(O423:R423)</f>
        <v/>
      </c>
      <c r="T423" s="3">
        <f>IF(S423=0,"",O423/S423)</f>
        <v/>
      </c>
      <c r="U423" s="3">
        <f>IF(S423=0,"",P423/S423)</f>
        <v/>
      </c>
      <c r="V423" s="3">
        <f>IF(S423=0,"",Q423/S423)</f>
        <v/>
      </c>
      <c r="W423" s="3">
        <f>IF(S423=0,"",R423/S423)</f>
        <v/>
      </c>
      <c r="X423" s="4">
        <f>IF(S423=0,"",T423*Pesos!$B$2+U423*Pesos!$B$3+V423*Pesos!$B$4+W423*Pesos!$B$5)</f>
        <v/>
      </c>
    </row>
    <row r="424">
      <c r="A424" s="2" t="n">
        <v>423</v>
      </c>
      <c r="B424" t="n">
        <v>10</v>
      </c>
      <c r="C424" t="n">
        <v>590</v>
      </c>
      <c r="D424" t="n">
        <v>1065</v>
      </c>
      <c r="E424" t="n">
        <v>865</v>
      </c>
      <c r="F424" t="n">
        <v>680</v>
      </c>
      <c r="G424" t="n">
        <v>890</v>
      </c>
      <c r="H424" t="n">
        <v>740</v>
      </c>
      <c r="I424" t="n">
        <v>3570</v>
      </c>
      <c r="J424" t="n">
        <v>3055</v>
      </c>
      <c r="K424" t="n">
        <v>2360</v>
      </c>
      <c r="L424" t="n">
        <v>1070</v>
      </c>
      <c r="M424" t="n">
        <v>600</v>
      </c>
      <c r="N424" s="6" t="n">
        <v>15485</v>
      </c>
      <c r="O424">
        <f>SUM(C424:H424)</f>
        <v/>
      </c>
      <c r="P424">
        <f>I424</f>
        <v/>
      </c>
      <c r="Q424">
        <f>J424</f>
        <v/>
      </c>
      <c r="R424">
        <f>SUM(K424:M424)</f>
        <v/>
      </c>
      <c r="S424">
        <f>SUM(O424:R424)</f>
        <v/>
      </c>
      <c r="T424" s="3">
        <f>IF(S424=0,"",O424/S424)</f>
        <v/>
      </c>
      <c r="U424" s="3">
        <f>IF(S424=0,"",P424/S424)</f>
        <v/>
      </c>
      <c r="V424" s="3">
        <f>IF(S424=0,"",Q424/S424)</f>
        <v/>
      </c>
      <c r="W424" s="3">
        <f>IF(S424=0,"",R424/S424)</f>
        <v/>
      </c>
      <c r="X424" s="4">
        <f>IF(S424=0,"",T424*Pesos!$B$2+U424*Pesos!$B$3+V424*Pesos!$B$4+W424*Pesos!$B$5)</f>
        <v/>
      </c>
    </row>
    <row r="425">
      <c r="A425" s="2" t="n">
        <v>424</v>
      </c>
      <c r="B425" t="n">
        <v>14</v>
      </c>
      <c r="C425" t="n">
        <v>1730</v>
      </c>
      <c r="D425" t="n">
        <v>2255</v>
      </c>
      <c r="E425" t="n">
        <v>2490</v>
      </c>
      <c r="F425" t="n">
        <v>1865</v>
      </c>
      <c r="G425" t="n">
        <v>2635</v>
      </c>
      <c r="H425" t="n">
        <v>2290</v>
      </c>
      <c r="I425" t="n">
        <v>6710</v>
      </c>
      <c r="J425" t="n">
        <v>5435</v>
      </c>
      <c r="K425" t="n">
        <v>2195</v>
      </c>
      <c r="L425" t="n">
        <v>965</v>
      </c>
      <c r="M425" t="n">
        <v>1390</v>
      </c>
      <c r="N425" s="6" t="n">
        <v>29955</v>
      </c>
      <c r="O425">
        <f>SUM(C425:H425)</f>
        <v/>
      </c>
      <c r="P425">
        <f>I425</f>
        <v/>
      </c>
      <c r="Q425">
        <f>J425</f>
        <v/>
      </c>
      <c r="R425">
        <f>SUM(K425:M425)</f>
        <v/>
      </c>
      <c r="S425">
        <f>SUM(O425:R425)</f>
        <v/>
      </c>
      <c r="T425" s="3">
        <f>IF(S425=0,"",O425/S425)</f>
        <v/>
      </c>
      <c r="U425" s="3">
        <f>IF(S425=0,"",P425/S425)</f>
        <v/>
      </c>
      <c r="V425" s="3">
        <f>IF(S425=0,"",Q425/S425)</f>
        <v/>
      </c>
      <c r="W425" s="3">
        <f>IF(S425=0,"",R425/S425)</f>
        <v/>
      </c>
      <c r="X425" s="4">
        <f>IF(S425=0,"",T425*Pesos!$B$2+U425*Pesos!$B$3+V425*Pesos!$B$4+W425*Pesos!$B$5)</f>
        <v/>
      </c>
    </row>
    <row r="426">
      <c r="A426" s="2" t="n">
        <v>425</v>
      </c>
      <c r="B426" t="n">
        <v>8</v>
      </c>
      <c r="C426" t="n">
        <v>1650</v>
      </c>
      <c r="D426" t="n">
        <v>1460</v>
      </c>
      <c r="E426" t="n">
        <v>1135</v>
      </c>
      <c r="F426" t="n">
        <v>1340</v>
      </c>
      <c r="G426" t="n">
        <v>1160</v>
      </c>
      <c r="H426" t="n">
        <v>1440</v>
      </c>
      <c r="I426" t="n">
        <v>4695</v>
      </c>
      <c r="J426" t="n">
        <v>3830</v>
      </c>
      <c r="K426" t="n">
        <v>115</v>
      </c>
      <c r="L426" t="n">
        <v>75</v>
      </c>
      <c r="M426" s="7" t="n">
        <v>35</v>
      </c>
      <c r="N426" s="6" t="n">
        <v>16935</v>
      </c>
      <c r="O426">
        <f>SUM(C426:H426)</f>
        <v/>
      </c>
      <c r="P426">
        <f>I426</f>
        <v/>
      </c>
      <c r="Q426">
        <f>J426</f>
        <v/>
      </c>
      <c r="R426">
        <f>SUM(K426:M426)</f>
        <v/>
      </c>
      <c r="S426">
        <f>SUM(O426:R426)</f>
        <v/>
      </c>
      <c r="T426" s="3">
        <f>IF(S426=0,"",O426/S426)</f>
        <v/>
      </c>
      <c r="U426" s="3">
        <f>IF(S426=0,"",P426/S426)</f>
        <v/>
      </c>
      <c r="V426" s="3">
        <f>IF(S426=0,"",Q426/S426)</f>
        <v/>
      </c>
      <c r="W426" s="3">
        <f>IF(S426=0,"",R426/S426)</f>
        <v/>
      </c>
      <c r="X426" s="4">
        <f>IF(S426=0,"",T426*Pesos!$B$2+U426*Pesos!$B$3+V426*Pesos!$B$4+W426*Pesos!$B$5)</f>
        <v/>
      </c>
    </row>
    <row r="427">
      <c r="A427" s="2" t="n">
        <v>426</v>
      </c>
      <c r="B427" t="n">
        <v>10</v>
      </c>
      <c r="C427" t="n">
        <v>1000</v>
      </c>
      <c r="D427" t="n">
        <v>1285</v>
      </c>
      <c r="E427" t="n">
        <v>695</v>
      </c>
      <c r="F427" t="n">
        <v>860</v>
      </c>
      <c r="G427" t="n">
        <v>480</v>
      </c>
      <c r="H427" t="n">
        <v>1405</v>
      </c>
      <c r="I427" t="n">
        <v>2505</v>
      </c>
      <c r="J427" t="n">
        <v>4575</v>
      </c>
      <c r="K427" t="n">
        <v>4950</v>
      </c>
      <c r="L427" t="n">
        <v>90</v>
      </c>
      <c r="M427" s="7" t="n">
        <v>35</v>
      </c>
      <c r="N427" s="6" t="n">
        <v>17885</v>
      </c>
      <c r="O427">
        <f>SUM(C427:H427)</f>
        <v/>
      </c>
      <c r="P427">
        <f>I427</f>
        <v/>
      </c>
      <c r="Q427">
        <f>J427</f>
        <v/>
      </c>
      <c r="R427">
        <f>SUM(K427:M427)</f>
        <v/>
      </c>
      <c r="S427">
        <f>SUM(O427:R427)</f>
        <v/>
      </c>
      <c r="T427" s="3">
        <f>IF(S427=0,"",O427/S427)</f>
        <v/>
      </c>
      <c r="U427" s="3">
        <f>IF(S427=0,"",P427/S427)</f>
        <v/>
      </c>
      <c r="V427" s="3">
        <f>IF(S427=0,"",Q427/S427)</f>
        <v/>
      </c>
      <c r="W427" s="3">
        <f>IF(S427=0,"",R427/S427)</f>
        <v/>
      </c>
      <c r="X427" s="4">
        <f>IF(S427=0,"",T427*Pesos!$B$2+U427*Pesos!$B$3+V427*Pesos!$B$4+W427*Pesos!$B$5)</f>
        <v/>
      </c>
    </row>
    <row r="428">
      <c r="A428" s="2" t="n">
        <v>427</v>
      </c>
      <c r="B428" t="n">
        <v>7</v>
      </c>
      <c r="C428" t="n">
        <v>1380</v>
      </c>
      <c r="D428" t="n">
        <v>1165</v>
      </c>
      <c r="E428" t="n">
        <v>1565</v>
      </c>
      <c r="F428" t="n">
        <v>1620</v>
      </c>
      <c r="G428" t="n">
        <v>3205</v>
      </c>
      <c r="H428" t="n">
        <v>2540</v>
      </c>
      <c r="I428" t="n">
        <v>4455</v>
      </c>
      <c r="J428" t="n">
        <v>545</v>
      </c>
      <c r="K428" t="n">
        <v>55</v>
      </c>
      <c r="L428" t="n">
        <v>0</v>
      </c>
      <c r="M428" s="7" t="n">
        <v>10</v>
      </c>
      <c r="N428" s="6" t="n">
        <v>16530</v>
      </c>
      <c r="O428">
        <f>SUM(C428:H428)</f>
        <v/>
      </c>
      <c r="P428">
        <f>I428</f>
        <v/>
      </c>
      <c r="Q428">
        <f>J428</f>
        <v/>
      </c>
      <c r="R428">
        <f>SUM(K428:M428)</f>
        <v/>
      </c>
      <c r="S428">
        <f>SUM(O428:R428)</f>
        <v/>
      </c>
      <c r="T428" s="3">
        <f>IF(S428=0,"",O428/S428)</f>
        <v/>
      </c>
      <c r="U428" s="3">
        <f>IF(S428=0,"",P428/S428)</f>
        <v/>
      </c>
      <c r="V428" s="3">
        <f>IF(S428=0,"",Q428/S428)</f>
        <v/>
      </c>
      <c r="W428" s="3">
        <f>IF(S428=0,"",R428/S428)</f>
        <v/>
      </c>
      <c r="X428" s="4">
        <f>IF(S428=0,"",T428*Pesos!$B$2+U428*Pesos!$B$3+V428*Pesos!$B$4+W428*Pesos!$B$5)</f>
        <v/>
      </c>
    </row>
    <row r="429">
      <c r="A429" s="2" t="n">
        <v>428</v>
      </c>
      <c r="B429" t="n">
        <v>11</v>
      </c>
      <c r="C429" t="n">
        <v>705</v>
      </c>
      <c r="D429" t="n">
        <v>790</v>
      </c>
      <c r="E429" t="n">
        <v>845</v>
      </c>
      <c r="F429" t="n">
        <v>525</v>
      </c>
      <c r="G429" t="n">
        <v>1235</v>
      </c>
      <c r="H429" t="n">
        <v>770</v>
      </c>
      <c r="I429" t="n">
        <v>5830</v>
      </c>
      <c r="J429" t="n">
        <v>8385</v>
      </c>
      <c r="K429" t="n">
        <v>3280</v>
      </c>
      <c r="L429" s="7" t="n">
        <v>20</v>
      </c>
      <c r="M429" s="7" t="n">
        <v>30</v>
      </c>
      <c r="N429" s="6" t="n">
        <v>22415</v>
      </c>
      <c r="O429">
        <f>SUM(C429:H429)</f>
        <v/>
      </c>
      <c r="P429">
        <f>I429</f>
        <v/>
      </c>
      <c r="Q429">
        <f>J429</f>
        <v/>
      </c>
      <c r="R429">
        <f>SUM(K429:M429)</f>
        <v/>
      </c>
      <c r="S429">
        <f>SUM(O429:R429)</f>
        <v/>
      </c>
      <c r="T429" s="3">
        <f>IF(S429=0,"",O429/S429)</f>
        <v/>
      </c>
      <c r="U429" s="3">
        <f>IF(S429=0,"",P429/S429)</f>
        <v/>
      </c>
      <c r="V429" s="3">
        <f>IF(S429=0,"",Q429/S429)</f>
        <v/>
      </c>
      <c r="W429" s="3">
        <f>IF(S429=0,"",R429/S429)</f>
        <v/>
      </c>
      <c r="X429" s="4">
        <f>IF(S429=0,"",T429*Pesos!$B$2+U429*Pesos!$B$3+V429*Pesos!$B$4+W429*Pesos!$B$5)</f>
        <v/>
      </c>
    </row>
    <row r="430">
      <c r="A430" s="2" t="n">
        <v>429</v>
      </c>
      <c r="B430" t="n">
        <v>7</v>
      </c>
      <c r="C430" t="n">
        <v>640</v>
      </c>
      <c r="D430" t="n">
        <v>1160</v>
      </c>
      <c r="E430" t="n">
        <v>885</v>
      </c>
      <c r="F430" t="n">
        <v>495</v>
      </c>
      <c r="G430" t="n">
        <v>705</v>
      </c>
      <c r="H430" t="n">
        <v>750</v>
      </c>
      <c r="I430" t="n">
        <v>2610</v>
      </c>
      <c r="J430" t="n">
        <v>3125</v>
      </c>
      <c r="K430" t="n">
        <v>2185</v>
      </c>
      <c r="L430" t="n">
        <v>805</v>
      </c>
      <c r="M430" t="n">
        <v>445</v>
      </c>
      <c r="N430" s="6" t="n">
        <v>13815</v>
      </c>
      <c r="O430">
        <f>SUM(C430:H430)</f>
        <v/>
      </c>
      <c r="P430">
        <f>I430</f>
        <v/>
      </c>
      <c r="Q430">
        <f>J430</f>
        <v/>
      </c>
      <c r="R430">
        <f>SUM(K430:M430)</f>
        <v/>
      </c>
      <c r="S430">
        <f>SUM(O430:R430)</f>
        <v/>
      </c>
      <c r="T430" s="3">
        <f>IF(S430=0,"",O430/S430)</f>
        <v/>
      </c>
      <c r="U430" s="3">
        <f>IF(S430=0,"",P430/S430)</f>
        <v/>
      </c>
      <c r="V430" s="3">
        <f>IF(S430=0,"",Q430/S430)</f>
        <v/>
      </c>
      <c r="W430" s="3">
        <f>IF(S430=0,"",R430/S430)</f>
        <v/>
      </c>
      <c r="X430" s="4">
        <f>IF(S430=0,"",T430*Pesos!$B$2+U430*Pesos!$B$3+V430*Pesos!$B$4+W430*Pesos!$B$5)</f>
        <v/>
      </c>
    </row>
    <row r="431">
      <c r="A431" s="2" t="n">
        <v>430</v>
      </c>
      <c r="B431" t="n">
        <v>8</v>
      </c>
      <c r="C431" t="n">
        <v>860</v>
      </c>
      <c r="D431" t="n">
        <v>910</v>
      </c>
      <c r="E431" t="n">
        <v>735</v>
      </c>
      <c r="F431" t="n">
        <v>1105</v>
      </c>
      <c r="G431" t="n">
        <v>670</v>
      </c>
      <c r="H431" t="n">
        <v>600</v>
      </c>
      <c r="I431" t="n">
        <v>2140</v>
      </c>
      <c r="J431" t="n">
        <v>2980</v>
      </c>
      <c r="K431" t="n">
        <v>1685</v>
      </c>
      <c r="L431" t="n">
        <v>640</v>
      </c>
      <c r="M431" t="n">
        <v>150</v>
      </c>
      <c r="N431" s="6" t="n">
        <v>12480</v>
      </c>
      <c r="O431">
        <f>SUM(C431:H431)</f>
        <v/>
      </c>
      <c r="P431">
        <f>I431</f>
        <v/>
      </c>
      <c r="Q431">
        <f>J431</f>
        <v/>
      </c>
      <c r="R431">
        <f>SUM(K431:M431)</f>
        <v/>
      </c>
      <c r="S431">
        <f>SUM(O431:R431)</f>
        <v/>
      </c>
      <c r="T431" s="3">
        <f>IF(S431=0,"",O431/S431)</f>
        <v/>
      </c>
      <c r="U431" s="3">
        <f>IF(S431=0,"",P431/S431)</f>
        <v/>
      </c>
      <c r="V431" s="3">
        <f>IF(S431=0,"",Q431/S431)</f>
        <v/>
      </c>
      <c r="W431" s="3">
        <f>IF(S431=0,"",R431/S431)</f>
        <v/>
      </c>
      <c r="X431" s="4">
        <f>IF(S431=0,"",T431*Pesos!$B$2+U431*Pesos!$B$3+V431*Pesos!$B$4+W431*Pesos!$B$5)</f>
        <v/>
      </c>
    </row>
    <row r="432">
      <c r="A432" s="2" t="n">
        <v>431</v>
      </c>
      <c r="B432" t="n">
        <v>9</v>
      </c>
      <c r="C432" t="n">
        <v>555</v>
      </c>
      <c r="D432" t="n">
        <v>975</v>
      </c>
      <c r="E432" t="n">
        <v>580</v>
      </c>
      <c r="F432" t="n">
        <v>1080</v>
      </c>
      <c r="G432" t="n">
        <v>810</v>
      </c>
      <c r="H432" t="n">
        <v>1595</v>
      </c>
      <c r="I432" t="n">
        <v>4470</v>
      </c>
      <c r="J432" t="n">
        <v>5385</v>
      </c>
      <c r="K432" t="n">
        <v>1895</v>
      </c>
      <c r="L432" t="n">
        <v>400</v>
      </c>
      <c r="M432" t="n">
        <v>200</v>
      </c>
      <c r="N432" s="6" t="n">
        <v>17955</v>
      </c>
      <c r="O432">
        <f>SUM(C432:H432)</f>
        <v/>
      </c>
      <c r="P432">
        <f>I432</f>
        <v/>
      </c>
      <c r="Q432">
        <f>J432</f>
        <v/>
      </c>
      <c r="R432">
        <f>SUM(K432:M432)</f>
        <v/>
      </c>
      <c r="S432">
        <f>SUM(O432:R432)</f>
        <v/>
      </c>
      <c r="T432" s="3">
        <f>IF(S432=0,"",O432/S432)</f>
        <v/>
      </c>
      <c r="U432" s="3">
        <f>IF(S432=0,"",P432/S432)</f>
        <v/>
      </c>
      <c r="V432" s="3">
        <f>IF(S432=0,"",Q432/S432)</f>
        <v/>
      </c>
      <c r="W432" s="3">
        <f>IF(S432=0,"",R432/S432)</f>
        <v/>
      </c>
      <c r="X432" s="4">
        <f>IF(S432=0,"",T432*Pesos!$B$2+U432*Pesos!$B$3+V432*Pesos!$B$4+W432*Pesos!$B$5)</f>
        <v/>
      </c>
    </row>
    <row r="433">
      <c r="A433" s="2" t="n">
        <v>432</v>
      </c>
      <c r="B433" t="n">
        <v>7</v>
      </c>
      <c r="C433" t="n">
        <v>735</v>
      </c>
      <c r="D433" t="n">
        <v>880</v>
      </c>
      <c r="E433" t="n">
        <v>865</v>
      </c>
      <c r="F433" t="n">
        <v>510</v>
      </c>
      <c r="G433" t="n">
        <v>795</v>
      </c>
      <c r="H433" t="n">
        <v>745</v>
      </c>
      <c r="I433" t="n">
        <v>2390</v>
      </c>
      <c r="J433" t="n">
        <v>3305</v>
      </c>
      <c r="K433" t="n">
        <v>2160</v>
      </c>
      <c r="L433" t="n">
        <v>70</v>
      </c>
      <c r="M433" t="n">
        <v>75</v>
      </c>
      <c r="N433" s="6" t="n">
        <v>12530</v>
      </c>
      <c r="O433">
        <f>SUM(C433:H433)</f>
        <v/>
      </c>
      <c r="P433">
        <f>I433</f>
        <v/>
      </c>
      <c r="Q433">
        <f>J433</f>
        <v/>
      </c>
      <c r="R433">
        <f>SUM(K433:M433)</f>
        <v/>
      </c>
      <c r="S433">
        <f>SUM(O433:R433)</f>
        <v/>
      </c>
      <c r="T433" s="3">
        <f>IF(S433=0,"",O433/S433)</f>
        <v/>
      </c>
      <c r="U433" s="3">
        <f>IF(S433=0,"",P433/S433)</f>
        <v/>
      </c>
      <c r="V433" s="3">
        <f>IF(S433=0,"",Q433/S433)</f>
        <v/>
      </c>
      <c r="W433" s="3">
        <f>IF(S433=0,"",R433/S433)</f>
        <v/>
      </c>
      <c r="X433" s="4">
        <f>IF(S433=0,"",T433*Pesos!$B$2+U433*Pesos!$B$3+V433*Pesos!$B$4+W433*Pesos!$B$5)</f>
        <v/>
      </c>
    </row>
    <row r="434">
      <c r="A434" s="2" t="n">
        <v>433</v>
      </c>
      <c r="B434" t="n">
        <v>10</v>
      </c>
      <c r="C434" t="n">
        <v>820</v>
      </c>
      <c r="D434" t="n">
        <v>1220</v>
      </c>
      <c r="E434" t="n">
        <v>1005</v>
      </c>
      <c r="F434" t="n">
        <v>730</v>
      </c>
      <c r="G434" t="n">
        <v>840</v>
      </c>
      <c r="H434" t="n">
        <v>1230</v>
      </c>
      <c r="I434" t="n">
        <v>3900</v>
      </c>
      <c r="J434" t="n">
        <v>6055</v>
      </c>
      <c r="K434" t="n">
        <v>2420</v>
      </c>
      <c r="L434" t="n">
        <v>70</v>
      </c>
      <c r="M434" s="7" t="n">
        <v>20</v>
      </c>
      <c r="N434" s="6" t="n">
        <v>18305</v>
      </c>
      <c r="O434">
        <f>SUM(C434:H434)</f>
        <v/>
      </c>
      <c r="P434">
        <f>I434</f>
        <v/>
      </c>
      <c r="Q434">
        <f>J434</f>
        <v/>
      </c>
      <c r="R434">
        <f>SUM(K434:M434)</f>
        <v/>
      </c>
      <c r="S434">
        <f>SUM(O434:R434)</f>
        <v/>
      </c>
      <c r="T434" s="3">
        <f>IF(S434=0,"",O434/S434)</f>
        <v/>
      </c>
      <c r="U434" s="3">
        <f>IF(S434=0,"",P434/S434)</f>
        <v/>
      </c>
      <c r="V434" s="3">
        <f>IF(S434=0,"",Q434/S434)</f>
        <v/>
      </c>
      <c r="W434" s="3">
        <f>IF(S434=0,"",R434/S434)</f>
        <v/>
      </c>
      <c r="X434" s="4">
        <f>IF(S434=0,"",T434*Pesos!$B$2+U434*Pesos!$B$3+V434*Pesos!$B$4+W434*Pesos!$B$5)</f>
        <v/>
      </c>
    </row>
    <row r="435">
      <c r="A435" s="2" t="n">
        <v>434</v>
      </c>
      <c r="B435" t="n">
        <v>7</v>
      </c>
      <c r="C435" t="n">
        <v>830</v>
      </c>
      <c r="D435" t="n">
        <v>2160</v>
      </c>
      <c r="E435" t="n">
        <v>1200</v>
      </c>
      <c r="F435" t="n">
        <v>595</v>
      </c>
      <c r="G435" t="n">
        <v>990</v>
      </c>
      <c r="H435" t="n">
        <v>1485</v>
      </c>
      <c r="I435" t="n">
        <v>4550</v>
      </c>
      <c r="J435" t="n">
        <v>1740</v>
      </c>
      <c r="K435" t="n">
        <v>90</v>
      </c>
      <c r="L435" t="n">
        <v>0</v>
      </c>
      <c r="M435" s="7" t="n">
        <v>15</v>
      </c>
      <c r="N435" s="6" t="n">
        <v>13655</v>
      </c>
      <c r="O435">
        <f>SUM(C435:H435)</f>
        <v/>
      </c>
      <c r="P435">
        <f>I435</f>
        <v/>
      </c>
      <c r="Q435">
        <f>J435</f>
        <v/>
      </c>
      <c r="R435">
        <f>SUM(K435:M435)</f>
        <v/>
      </c>
      <c r="S435">
        <f>SUM(O435:R435)</f>
        <v/>
      </c>
      <c r="T435" s="3">
        <f>IF(S435=0,"",O435/S435)</f>
        <v/>
      </c>
      <c r="U435" s="3">
        <f>IF(S435=0,"",P435/S435)</f>
        <v/>
      </c>
      <c r="V435" s="3">
        <f>IF(S435=0,"",Q435/S435)</f>
        <v/>
      </c>
      <c r="W435" s="3">
        <f>IF(S435=0,"",R435/S435)</f>
        <v/>
      </c>
      <c r="X435" s="4">
        <f>IF(S435=0,"",T435*Pesos!$B$2+U435*Pesos!$B$3+V435*Pesos!$B$4+W435*Pesos!$B$5)</f>
        <v/>
      </c>
    </row>
    <row r="436">
      <c r="A436" s="2" t="n">
        <v>435</v>
      </c>
      <c r="B436" t="n">
        <v>6</v>
      </c>
      <c r="C436" t="n">
        <v>965</v>
      </c>
      <c r="D436" t="n">
        <v>990</v>
      </c>
      <c r="E436" t="n">
        <v>1705</v>
      </c>
      <c r="F436" t="n">
        <v>1110</v>
      </c>
      <c r="G436" t="n">
        <v>960</v>
      </c>
      <c r="H436" t="n">
        <v>800</v>
      </c>
      <c r="I436" t="n">
        <v>2555</v>
      </c>
      <c r="J436" t="n">
        <v>2555</v>
      </c>
      <c r="K436" t="n">
        <v>715</v>
      </c>
      <c r="L436" t="n">
        <v>95</v>
      </c>
      <c r="M436" t="n">
        <v>85</v>
      </c>
      <c r="N436" s="6" t="n">
        <v>12535</v>
      </c>
      <c r="O436">
        <f>SUM(C436:H436)</f>
        <v/>
      </c>
      <c r="P436">
        <f>I436</f>
        <v/>
      </c>
      <c r="Q436">
        <f>J436</f>
        <v/>
      </c>
      <c r="R436">
        <f>SUM(K436:M436)</f>
        <v/>
      </c>
      <c r="S436">
        <f>SUM(O436:R436)</f>
        <v/>
      </c>
      <c r="T436" s="3">
        <f>IF(S436=0,"",O436/S436)</f>
        <v/>
      </c>
      <c r="U436" s="3">
        <f>IF(S436=0,"",P436/S436)</f>
        <v/>
      </c>
      <c r="V436" s="3">
        <f>IF(S436=0,"",Q436/S436)</f>
        <v/>
      </c>
      <c r="W436" s="3">
        <f>IF(S436=0,"",R436/S436)</f>
        <v/>
      </c>
      <c r="X436" s="4">
        <f>IF(S436=0,"",T436*Pesos!$B$2+U436*Pesos!$B$3+V436*Pesos!$B$4+W436*Pesos!$B$5)</f>
        <v/>
      </c>
    </row>
    <row r="437">
      <c r="A437" s="2" t="n">
        <v>436</v>
      </c>
      <c r="B437" t="n">
        <v>12</v>
      </c>
      <c r="C437" t="n">
        <v>845</v>
      </c>
      <c r="D437" t="n">
        <v>2285</v>
      </c>
      <c r="E437" t="n">
        <v>1425</v>
      </c>
      <c r="F437" t="n">
        <v>1185</v>
      </c>
      <c r="G437" t="n">
        <v>900</v>
      </c>
      <c r="H437" t="n">
        <v>1150</v>
      </c>
      <c r="I437" t="n">
        <v>3580</v>
      </c>
      <c r="J437" t="n">
        <v>5470</v>
      </c>
      <c r="K437" t="n">
        <v>2360</v>
      </c>
      <c r="L437" t="n">
        <v>2185</v>
      </c>
      <c r="M437" t="n">
        <v>1075</v>
      </c>
      <c r="N437" s="6" t="n">
        <v>22455</v>
      </c>
      <c r="O437">
        <f>SUM(C437:H437)</f>
        <v/>
      </c>
      <c r="P437">
        <f>I437</f>
        <v/>
      </c>
      <c r="Q437">
        <f>J437</f>
        <v/>
      </c>
      <c r="R437">
        <f>SUM(K437:M437)</f>
        <v/>
      </c>
      <c r="S437">
        <f>SUM(O437:R437)</f>
        <v/>
      </c>
      <c r="T437" s="3">
        <f>IF(S437=0,"",O437/S437)</f>
        <v/>
      </c>
      <c r="U437" s="3">
        <f>IF(S437=0,"",P437/S437)</f>
        <v/>
      </c>
      <c r="V437" s="3">
        <f>IF(S437=0,"",Q437/S437)</f>
        <v/>
      </c>
      <c r="W437" s="3">
        <f>IF(S437=0,"",R437/S437)</f>
        <v/>
      </c>
      <c r="X437" s="4">
        <f>IF(S437=0,"",T437*Pesos!$B$2+U437*Pesos!$B$3+V437*Pesos!$B$4+W437*Pesos!$B$5)</f>
        <v/>
      </c>
    </row>
    <row r="438">
      <c r="A438" s="2" t="n">
        <v>437</v>
      </c>
      <c r="B438" t="n">
        <v>10</v>
      </c>
      <c r="C438" t="n">
        <v>745</v>
      </c>
      <c r="D438" t="n">
        <v>645</v>
      </c>
      <c r="E438" t="n">
        <v>885</v>
      </c>
      <c r="F438" t="n">
        <v>1060</v>
      </c>
      <c r="G438" t="n">
        <v>785</v>
      </c>
      <c r="H438" t="n">
        <v>740</v>
      </c>
      <c r="I438" t="n">
        <v>4020</v>
      </c>
      <c r="J438" t="n">
        <v>6010</v>
      </c>
      <c r="K438" t="n">
        <v>2300</v>
      </c>
      <c r="L438" t="n">
        <v>890</v>
      </c>
      <c r="M438" s="7" t="n">
        <v>35</v>
      </c>
      <c r="N438" s="6" t="n">
        <v>18110</v>
      </c>
      <c r="O438">
        <f>SUM(C438:H438)</f>
        <v/>
      </c>
      <c r="P438">
        <f>I438</f>
        <v/>
      </c>
      <c r="Q438">
        <f>J438</f>
        <v/>
      </c>
      <c r="R438">
        <f>SUM(K438:M438)</f>
        <v/>
      </c>
      <c r="S438">
        <f>SUM(O438:R438)</f>
        <v/>
      </c>
      <c r="T438" s="3">
        <f>IF(S438=0,"",O438/S438)</f>
        <v/>
      </c>
      <c r="U438" s="3">
        <f>IF(S438=0,"",P438/S438)</f>
        <v/>
      </c>
      <c r="V438" s="3">
        <f>IF(S438=0,"",Q438/S438)</f>
        <v/>
      </c>
      <c r="W438" s="3">
        <f>IF(S438=0,"",R438/S438)</f>
        <v/>
      </c>
      <c r="X438" s="4">
        <f>IF(S438=0,"",T438*Pesos!$B$2+U438*Pesos!$B$3+V438*Pesos!$B$4+W438*Pesos!$B$5)</f>
        <v/>
      </c>
    </row>
    <row r="439">
      <c r="A439" s="2" t="n">
        <v>438</v>
      </c>
      <c r="B439" t="n">
        <v>9</v>
      </c>
      <c r="C439" t="n">
        <v>995</v>
      </c>
      <c r="D439" t="n">
        <v>1350</v>
      </c>
      <c r="E439" t="n">
        <v>1030</v>
      </c>
      <c r="F439" t="n">
        <v>1090</v>
      </c>
      <c r="G439" t="n">
        <v>950</v>
      </c>
      <c r="H439" t="n">
        <v>945</v>
      </c>
      <c r="I439" t="n">
        <v>4320</v>
      </c>
      <c r="J439" t="n">
        <v>4510</v>
      </c>
      <c r="K439" t="n">
        <v>1505</v>
      </c>
      <c r="L439" t="n">
        <v>590</v>
      </c>
      <c r="M439" t="n">
        <v>695</v>
      </c>
      <c r="N439" s="6" t="n">
        <v>17985</v>
      </c>
      <c r="O439">
        <f>SUM(C439:H439)</f>
        <v/>
      </c>
      <c r="P439">
        <f>I439</f>
        <v/>
      </c>
      <c r="Q439">
        <f>J439</f>
        <v/>
      </c>
      <c r="R439">
        <f>SUM(K439:M439)</f>
        <v/>
      </c>
      <c r="S439">
        <f>SUM(O439:R439)</f>
        <v/>
      </c>
      <c r="T439" s="3">
        <f>IF(S439=0,"",O439/S439)</f>
        <v/>
      </c>
      <c r="U439" s="3">
        <f>IF(S439=0,"",P439/S439)</f>
        <v/>
      </c>
      <c r="V439" s="3">
        <f>IF(S439=0,"",Q439/S439)</f>
        <v/>
      </c>
      <c r="W439" s="3">
        <f>IF(S439=0,"",R439/S439)</f>
        <v/>
      </c>
      <c r="X439" s="4">
        <f>IF(S439=0,"",T439*Pesos!$B$2+U439*Pesos!$B$3+V439*Pesos!$B$4+W439*Pesos!$B$5)</f>
        <v/>
      </c>
    </row>
    <row r="440">
      <c r="A440" s="2" t="n">
        <v>439</v>
      </c>
      <c r="B440" t="n">
        <v>8</v>
      </c>
      <c r="C440" t="n">
        <v>1325</v>
      </c>
      <c r="D440" t="n">
        <v>1795</v>
      </c>
      <c r="E440" t="n">
        <v>2340</v>
      </c>
      <c r="F440" t="n">
        <v>1120</v>
      </c>
      <c r="G440" t="n">
        <v>1015</v>
      </c>
      <c r="H440" t="n">
        <v>1355</v>
      </c>
      <c r="I440" t="n">
        <v>5060</v>
      </c>
      <c r="J440" t="n">
        <v>3045</v>
      </c>
      <c r="K440" t="n">
        <v>860</v>
      </c>
      <c r="L440" t="n">
        <v>605</v>
      </c>
      <c r="M440" t="n">
        <v>505</v>
      </c>
      <c r="N440" s="6" t="n">
        <v>19025</v>
      </c>
      <c r="O440">
        <f>SUM(C440:H440)</f>
        <v/>
      </c>
      <c r="P440">
        <f>I440</f>
        <v/>
      </c>
      <c r="Q440">
        <f>J440</f>
        <v/>
      </c>
      <c r="R440">
        <f>SUM(K440:M440)</f>
        <v/>
      </c>
      <c r="S440">
        <f>SUM(O440:R440)</f>
        <v/>
      </c>
      <c r="T440" s="3">
        <f>IF(S440=0,"",O440/S440)</f>
        <v/>
      </c>
      <c r="U440" s="3">
        <f>IF(S440=0,"",P440/S440)</f>
        <v/>
      </c>
      <c r="V440" s="3">
        <f>IF(S440=0,"",Q440/S440)</f>
        <v/>
      </c>
      <c r="W440" s="3">
        <f>IF(S440=0,"",R440/S440)</f>
        <v/>
      </c>
      <c r="X440" s="4">
        <f>IF(S440=0,"",T440*Pesos!$B$2+U440*Pesos!$B$3+V440*Pesos!$B$4+W440*Pesos!$B$5)</f>
        <v/>
      </c>
    </row>
    <row r="441">
      <c r="A441" s="2" t="n">
        <v>440</v>
      </c>
      <c r="B441" t="n">
        <v>8</v>
      </c>
      <c r="C441" t="n">
        <v>240</v>
      </c>
      <c r="D441" t="n">
        <v>320</v>
      </c>
      <c r="E441" t="n">
        <v>420</v>
      </c>
      <c r="F441" t="n">
        <v>465</v>
      </c>
      <c r="G441" t="n">
        <v>335</v>
      </c>
      <c r="H441" t="n">
        <v>930</v>
      </c>
      <c r="I441" t="n">
        <v>1070</v>
      </c>
      <c r="J441" t="n">
        <v>1745</v>
      </c>
      <c r="K441" t="n">
        <v>1450</v>
      </c>
      <c r="L441" t="n">
        <v>1600</v>
      </c>
      <c r="M441" t="n">
        <v>450</v>
      </c>
      <c r="N441" s="6" t="n">
        <v>9020</v>
      </c>
      <c r="O441">
        <f>SUM(C441:H441)</f>
        <v/>
      </c>
      <c r="P441">
        <f>I441</f>
        <v/>
      </c>
      <c r="Q441">
        <f>J441</f>
        <v/>
      </c>
      <c r="R441">
        <f>SUM(K441:M441)</f>
        <v/>
      </c>
      <c r="S441">
        <f>SUM(O441:R441)</f>
        <v/>
      </c>
      <c r="T441" s="3">
        <f>IF(S441=0,"",O441/S441)</f>
        <v/>
      </c>
      <c r="U441" s="3">
        <f>IF(S441=0,"",P441/S441)</f>
        <v/>
      </c>
      <c r="V441" s="3">
        <f>IF(S441=0,"",Q441/S441)</f>
        <v/>
      </c>
      <c r="W441" s="3">
        <f>IF(S441=0,"",R441/S441)</f>
        <v/>
      </c>
      <c r="X441" s="4">
        <f>IF(S441=0,"",T441*Pesos!$B$2+U441*Pesos!$B$3+V441*Pesos!$B$4+W441*Pesos!$B$5)</f>
        <v/>
      </c>
    </row>
    <row r="442">
      <c r="A442" s="2" t="n">
        <v>441</v>
      </c>
      <c r="B442" t="n">
        <v>12</v>
      </c>
      <c r="C442" t="n">
        <v>1415</v>
      </c>
      <c r="D442" t="n">
        <v>710</v>
      </c>
      <c r="E442" t="n">
        <v>745</v>
      </c>
      <c r="F442" t="n">
        <v>655</v>
      </c>
      <c r="G442" t="n">
        <v>1010</v>
      </c>
      <c r="H442" t="n">
        <v>955</v>
      </c>
      <c r="I442" t="n">
        <v>2225</v>
      </c>
      <c r="J442" t="n">
        <v>2110</v>
      </c>
      <c r="K442" t="n">
        <v>2745</v>
      </c>
      <c r="L442" t="n">
        <v>2500</v>
      </c>
      <c r="M442" t="n">
        <v>990</v>
      </c>
      <c r="N442" s="6" t="n">
        <v>16055</v>
      </c>
      <c r="O442">
        <f>SUM(C442:H442)</f>
        <v/>
      </c>
      <c r="P442">
        <f>I442</f>
        <v/>
      </c>
      <c r="Q442">
        <f>J442</f>
        <v/>
      </c>
      <c r="R442">
        <f>SUM(K442:M442)</f>
        <v/>
      </c>
      <c r="S442">
        <f>SUM(O442:R442)</f>
        <v/>
      </c>
      <c r="T442" s="3">
        <f>IF(S442=0,"",O442/S442)</f>
        <v/>
      </c>
      <c r="U442" s="3">
        <f>IF(S442=0,"",P442/S442)</f>
        <v/>
      </c>
      <c r="V442" s="3">
        <f>IF(S442=0,"",Q442/S442)</f>
        <v/>
      </c>
      <c r="W442" s="3">
        <f>IF(S442=0,"",R442/S442)</f>
        <v/>
      </c>
      <c r="X442" s="4">
        <f>IF(S442=0,"",T442*Pesos!$B$2+U442*Pesos!$B$3+V442*Pesos!$B$4+W442*Pesos!$B$5)</f>
        <v/>
      </c>
    </row>
    <row r="443">
      <c r="A443" s="2" t="n">
        <v>442</v>
      </c>
      <c r="B443" t="n">
        <v>11</v>
      </c>
      <c r="C443" t="n">
        <v>590</v>
      </c>
      <c r="D443" t="n">
        <v>440</v>
      </c>
      <c r="E443" t="n">
        <v>655</v>
      </c>
      <c r="F443" t="n">
        <v>555</v>
      </c>
      <c r="G443" t="n">
        <v>800</v>
      </c>
      <c r="H443" t="n">
        <v>615</v>
      </c>
      <c r="I443" t="n">
        <v>2860</v>
      </c>
      <c r="J443" t="n">
        <v>4015</v>
      </c>
      <c r="K443" t="n">
        <v>4290</v>
      </c>
      <c r="L443" t="n">
        <v>2030</v>
      </c>
      <c r="M443" t="n">
        <v>310</v>
      </c>
      <c r="N443" s="6" t="n">
        <v>17170</v>
      </c>
      <c r="O443">
        <f>SUM(C443:H443)</f>
        <v/>
      </c>
      <c r="P443">
        <f>I443</f>
        <v/>
      </c>
      <c r="Q443">
        <f>J443</f>
        <v/>
      </c>
      <c r="R443">
        <f>SUM(K443:M443)</f>
        <v/>
      </c>
      <c r="S443">
        <f>SUM(O443:R443)</f>
        <v/>
      </c>
      <c r="T443" s="3">
        <f>IF(S443=0,"",O443/S443)</f>
        <v/>
      </c>
      <c r="U443" s="3">
        <f>IF(S443=0,"",P443/S443)</f>
        <v/>
      </c>
      <c r="V443" s="3">
        <f>IF(S443=0,"",Q443/S443)</f>
        <v/>
      </c>
      <c r="W443" s="3">
        <f>IF(S443=0,"",R443/S443)</f>
        <v/>
      </c>
      <c r="X443" s="4">
        <f>IF(S443=0,"",T443*Pesos!$B$2+U443*Pesos!$B$3+V443*Pesos!$B$4+W443*Pesos!$B$5)</f>
        <v/>
      </c>
    </row>
    <row r="444">
      <c r="A444" s="2" t="n">
        <v>443</v>
      </c>
      <c r="B444" t="n">
        <v>9</v>
      </c>
      <c r="C444" t="n">
        <v>1050</v>
      </c>
      <c r="D444" t="n">
        <v>1370</v>
      </c>
      <c r="E444" t="n">
        <v>865</v>
      </c>
      <c r="F444" t="n">
        <v>990</v>
      </c>
      <c r="G444" t="n">
        <v>1150</v>
      </c>
      <c r="H444" t="n">
        <v>1075</v>
      </c>
      <c r="I444" t="n">
        <v>3070</v>
      </c>
      <c r="J444" t="n">
        <v>5215</v>
      </c>
      <c r="K444" t="n">
        <v>2485</v>
      </c>
      <c r="L444" s="7" t="n">
        <v>10</v>
      </c>
      <c r="M444" s="7" t="n">
        <v>30</v>
      </c>
      <c r="N444" s="6" t="n">
        <v>17315</v>
      </c>
      <c r="O444">
        <f>SUM(C444:H444)</f>
        <v/>
      </c>
      <c r="P444">
        <f>I444</f>
        <v/>
      </c>
      <c r="Q444">
        <f>J444</f>
        <v/>
      </c>
      <c r="R444">
        <f>SUM(K444:M444)</f>
        <v/>
      </c>
      <c r="S444">
        <f>SUM(O444:R444)</f>
        <v/>
      </c>
      <c r="T444" s="3">
        <f>IF(S444=0,"",O444/S444)</f>
        <v/>
      </c>
      <c r="U444" s="3">
        <f>IF(S444=0,"",P444/S444)</f>
        <v/>
      </c>
      <c r="V444" s="3">
        <f>IF(S444=0,"",Q444/S444)</f>
        <v/>
      </c>
      <c r="W444" s="3">
        <f>IF(S444=0,"",R444/S444)</f>
        <v/>
      </c>
      <c r="X444" s="4">
        <f>IF(S444=0,"",T444*Pesos!$B$2+U444*Pesos!$B$3+V444*Pesos!$B$4+W444*Pesos!$B$5)</f>
        <v/>
      </c>
    </row>
    <row r="445">
      <c r="A445" s="2" t="n">
        <v>444</v>
      </c>
      <c r="B445" t="n">
        <v>8</v>
      </c>
      <c r="C445" t="n">
        <v>1570</v>
      </c>
      <c r="D445" t="n">
        <v>2520</v>
      </c>
      <c r="E445" t="n">
        <v>2195</v>
      </c>
      <c r="F445" t="n">
        <v>2575</v>
      </c>
      <c r="G445" t="n">
        <v>3035</v>
      </c>
      <c r="H445" t="n">
        <v>2430</v>
      </c>
      <c r="I445" t="n">
        <v>4005</v>
      </c>
      <c r="J445" t="n">
        <v>1330</v>
      </c>
      <c r="K445" t="n">
        <v>805</v>
      </c>
      <c r="L445" t="n">
        <v>150</v>
      </c>
      <c r="M445" t="n">
        <v>135</v>
      </c>
      <c r="N445" s="6" t="n">
        <v>20750</v>
      </c>
      <c r="O445">
        <f>SUM(C445:H445)</f>
        <v/>
      </c>
      <c r="P445">
        <f>I445</f>
        <v/>
      </c>
      <c r="Q445">
        <f>J445</f>
        <v/>
      </c>
      <c r="R445">
        <f>SUM(K445:M445)</f>
        <v/>
      </c>
      <c r="S445">
        <f>SUM(O445:R445)</f>
        <v/>
      </c>
      <c r="T445" s="3">
        <f>IF(S445=0,"",O445/S445)</f>
        <v/>
      </c>
      <c r="U445" s="3">
        <f>IF(S445=0,"",P445/S445)</f>
        <v/>
      </c>
      <c r="V445" s="3">
        <f>IF(S445=0,"",Q445/S445)</f>
        <v/>
      </c>
      <c r="W445" s="3">
        <f>IF(S445=0,"",R445/S445)</f>
        <v/>
      </c>
      <c r="X445" s="4">
        <f>IF(S445=0,"",T445*Pesos!$B$2+U445*Pesos!$B$3+V445*Pesos!$B$4+W445*Pesos!$B$5)</f>
        <v/>
      </c>
    </row>
    <row r="446">
      <c r="A446" s="2" t="n">
        <v>445</v>
      </c>
      <c r="B446" t="n">
        <v>8</v>
      </c>
      <c r="C446" t="n">
        <v>595</v>
      </c>
      <c r="D446" t="n">
        <v>675</v>
      </c>
      <c r="E446" t="n">
        <v>330</v>
      </c>
      <c r="F446" t="n">
        <v>635</v>
      </c>
      <c r="G446" t="n">
        <v>545</v>
      </c>
      <c r="H446" t="n">
        <v>455</v>
      </c>
      <c r="I446" t="n">
        <v>1900</v>
      </c>
      <c r="J446" t="n">
        <v>1505</v>
      </c>
      <c r="K446" t="n">
        <v>1350</v>
      </c>
      <c r="L446" t="n">
        <v>1785</v>
      </c>
      <c r="M446" t="n">
        <v>345</v>
      </c>
      <c r="N446" s="6" t="n">
        <v>10125</v>
      </c>
      <c r="O446">
        <f>SUM(C446:H446)</f>
        <v/>
      </c>
      <c r="P446">
        <f>I446</f>
        <v/>
      </c>
      <c r="Q446">
        <f>J446</f>
        <v/>
      </c>
      <c r="R446">
        <f>SUM(K446:M446)</f>
        <v/>
      </c>
      <c r="S446">
        <f>SUM(O446:R446)</f>
        <v/>
      </c>
      <c r="T446" s="3">
        <f>IF(S446=0,"",O446/S446)</f>
        <v/>
      </c>
      <c r="U446" s="3">
        <f>IF(S446=0,"",P446/S446)</f>
        <v/>
      </c>
      <c r="V446" s="3">
        <f>IF(S446=0,"",Q446/S446)</f>
        <v/>
      </c>
      <c r="W446" s="3">
        <f>IF(S446=0,"",R446/S446)</f>
        <v/>
      </c>
      <c r="X446" s="4">
        <f>IF(S446=0,"",T446*Pesos!$B$2+U446*Pesos!$B$3+V446*Pesos!$B$4+W446*Pesos!$B$5)</f>
        <v/>
      </c>
    </row>
    <row r="447">
      <c r="A447" s="2" t="n">
        <v>446</v>
      </c>
      <c r="B447" t="n">
        <v>8</v>
      </c>
      <c r="C447" t="n">
        <v>480</v>
      </c>
      <c r="D447" t="n">
        <v>685</v>
      </c>
      <c r="E447" t="n">
        <v>430</v>
      </c>
      <c r="F447" t="n">
        <v>365</v>
      </c>
      <c r="G447" t="n">
        <v>310</v>
      </c>
      <c r="H447" t="n">
        <v>300</v>
      </c>
      <c r="I447" t="n">
        <v>875</v>
      </c>
      <c r="J447" t="n">
        <v>2260</v>
      </c>
      <c r="K447" t="n">
        <v>1555</v>
      </c>
      <c r="L447" t="n">
        <v>2095</v>
      </c>
      <c r="M447" s="7" t="n">
        <v>40</v>
      </c>
      <c r="N447" s="6" t="n">
        <v>9395</v>
      </c>
      <c r="O447">
        <f>SUM(C447:H447)</f>
        <v/>
      </c>
      <c r="P447">
        <f>I447</f>
        <v/>
      </c>
      <c r="Q447">
        <f>J447</f>
        <v/>
      </c>
      <c r="R447">
        <f>SUM(K447:M447)</f>
        <v/>
      </c>
      <c r="S447">
        <f>SUM(O447:R447)</f>
        <v/>
      </c>
      <c r="T447" s="3">
        <f>IF(S447=0,"",O447/S447)</f>
        <v/>
      </c>
      <c r="U447" s="3">
        <f>IF(S447=0,"",P447/S447)</f>
        <v/>
      </c>
      <c r="V447" s="3">
        <f>IF(S447=0,"",Q447/S447)</f>
        <v/>
      </c>
      <c r="W447" s="3">
        <f>IF(S447=0,"",R447/S447)</f>
        <v/>
      </c>
      <c r="X447" s="4">
        <f>IF(S447=0,"",T447*Pesos!$B$2+U447*Pesos!$B$3+V447*Pesos!$B$4+W447*Pesos!$B$5)</f>
        <v/>
      </c>
    </row>
    <row r="448">
      <c r="A448" s="2" t="n">
        <v>447</v>
      </c>
      <c r="B448" t="n">
        <v>8</v>
      </c>
      <c r="C448" t="n">
        <v>340</v>
      </c>
      <c r="D448" t="n">
        <v>1050</v>
      </c>
      <c r="E448" t="n">
        <v>625</v>
      </c>
      <c r="F448" t="n">
        <v>390</v>
      </c>
      <c r="G448" t="n">
        <v>665</v>
      </c>
      <c r="H448" t="n">
        <v>1050</v>
      </c>
      <c r="I448" t="n">
        <v>2475</v>
      </c>
      <c r="J448" t="n">
        <v>1780</v>
      </c>
      <c r="K448" t="n">
        <v>1320</v>
      </c>
      <c r="L448" t="n">
        <v>1160</v>
      </c>
      <c r="M448" t="n">
        <v>795</v>
      </c>
      <c r="N448" s="6" t="n">
        <v>11650</v>
      </c>
      <c r="O448">
        <f>SUM(C448:H448)</f>
        <v/>
      </c>
      <c r="P448">
        <f>I448</f>
        <v/>
      </c>
      <c r="Q448">
        <f>J448</f>
        <v/>
      </c>
      <c r="R448">
        <f>SUM(K448:M448)</f>
        <v/>
      </c>
      <c r="S448">
        <f>SUM(O448:R448)</f>
        <v/>
      </c>
      <c r="T448" s="3">
        <f>IF(S448=0,"",O448/S448)</f>
        <v/>
      </c>
      <c r="U448" s="3">
        <f>IF(S448=0,"",P448/S448)</f>
        <v/>
      </c>
      <c r="V448" s="3">
        <f>IF(S448=0,"",Q448/S448)</f>
        <v/>
      </c>
      <c r="W448" s="3">
        <f>IF(S448=0,"",R448/S448)</f>
        <v/>
      </c>
      <c r="X448" s="4">
        <f>IF(S448=0,"",T448*Pesos!$B$2+U448*Pesos!$B$3+V448*Pesos!$B$4+W448*Pesos!$B$5)</f>
        <v/>
      </c>
    </row>
    <row r="449">
      <c r="A449" s="2" t="n">
        <v>448</v>
      </c>
      <c r="B449" t="n">
        <v>9</v>
      </c>
      <c r="C449" t="n">
        <v>1105</v>
      </c>
      <c r="D449" t="n">
        <v>705</v>
      </c>
      <c r="E449" t="n">
        <v>1595</v>
      </c>
      <c r="F449" t="n">
        <v>705</v>
      </c>
      <c r="G449" t="n">
        <v>670</v>
      </c>
      <c r="H449" t="n">
        <v>700</v>
      </c>
      <c r="I449" t="n">
        <v>4145</v>
      </c>
      <c r="J449" t="n">
        <v>6190</v>
      </c>
      <c r="K449" t="n">
        <v>2655</v>
      </c>
      <c r="L449" t="n">
        <v>1415</v>
      </c>
      <c r="M449" s="7" t="n">
        <v>45</v>
      </c>
      <c r="N449" s="6" t="n">
        <v>19920</v>
      </c>
      <c r="O449">
        <f>SUM(C449:H449)</f>
        <v/>
      </c>
      <c r="P449">
        <f>I449</f>
        <v/>
      </c>
      <c r="Q449">
        <f>J449</f>
        <v/>
      </c>
      <c r="R449">
        <f>SUM(K449:M449)</f>
        <v/>
      </c>
      <c r="S449">
        <f>SUM(O449:R449)</f>
        <v/>
      </c>
      <c r="T449" s="3">
        <f>IF(S449=0,"",O449/S449)</f>
        <v/>
      </c>
      <c r="U449" s="3">
        <f>IF(S449=0,"",P449/S449)</f>
        <v/>
      </c>
      <c r="V449" s="3">
        <f>IF(S449=0,"",Q449/S449)</f>
        <v/>
      </c>
      <c r="W449" s="3">
        <f>IF(S449=0,"",R449/S449)</f>
        <v/>
      </c>
      <c r="X449" s="4">
        <f>IF(S449=0,"",T449*Pesos!$B$2+U449*Pesos!$B$3+V449*Pesos!$B$4+W449*Pesos!$B$5)</f>
        <v/>
      </c>
    </row>
    <row r="450">
      <c r="A450" s="2" t="n">
        <v>449</v>
      </c>
      <c r="B450" t="n">
        <v>11</v>
      </c>
      <c r="C450" t="n">
        <v>2180</v>
      </c>
      <c r="D450" t="n">
        <v>6030</v>
      </c>
      <c r="E450" t="n">
        <v>3465</v>
      </c>
      <c r="F450" t="n">
        <v>1255</v>
      </c>
      <c r="G450" t="n">
        <v>1315</v>
      </c>
      <c r="H450" t="n">
        <v>2125</v>
      </c>
      <c r="I450" t="n">
        <v>4490</v>
      </c>
      <c r="J450" t="n">
        <v>3740</v>
      </c>
      <c r="K450" t="n">
        <v>745</v>
      </c>
      <c r="L450" t="n">
        <v>605</v>
      </c>
      <c r="M450" t="n">
        <v>105</v>
      </c>
      <c r="N450" s="6" t="n">
        <v>26055</v>
      </c>
      <c r="O450">
        <f>SUM(C450:H450)</f>
        <v/>
      </c>
      <c r="P450">
        <f>I450</f>
        <v/>
      </c>
      <c r="Q450">
        <f>J450</f>
        <v/>
      </c>
      <c r="R450">
        <f>SUM(K450:M450)</f>
        <v/>
      </c>
      <c r="S450">
        <f>SUM(O450:R450)</f>
        <v/>
      </c>
      <c r="T450" s="3">
        <f>IF(S450=0,"",O450/S450)</f>
        <v/>
      </c>
      <c r="U450" s="3">
        <f>IF(S450=0,"",P450/S450)</f>
        <v/>
      </c>
      <c r="V450" s="3">
        <f>IF(S450=0,"",Q450/S450)</f>
        <v/>
      </c>
      <c r="W450" s="3">
        <f>IF(S450=0,"",R450/S450)</f>
        <v/>
      </c>
      <c r="X450" s="4">
        <f>IF(S450=0,"",T450*Pesos!$B$2+U450*Pesos!$B$3+V450*Pesos!$B$4+W450*Pesos!$B$5)</f>
        <v/>
      </c>
    </row>
    <row r="451">
      <c r="A451" s="2" t="n">
        <v>450</v>
      </c>
      <c r="B451" t="n">
        <v>10</v>
      </c>
      <c r="C451" t="n">
        <v>1285</v>
      </c>
      <c r="D451" t="n">
        <v>1625</v>
      </c>
      <c r="E451" t="n">
        <v>850</v>
      </c>
      <c r="F451" t="n">
        <v>560</v>
      </c>
      <c r="G451" t="n">
        <v>345</v>
      </c>
      <c r="H451" t="n">
        <v>535</v>
      </c>
      <c r="I451" t="n">
        <v>3575</v>
      </c>
      <c r="J451" t="n">
        <v>4430</v>
      </c>
      <c r="K451" t="n">
        <v>2735</v>
      </c>
      <c r="L451" t="n">
        <v>2000</v>
      </c>
      <c r="M451" t="n">
        <v>170</v>
      </c>
      <c r="N451" s="6" t="n">
        <v>18110</v>
      </c>
      <c r="O451">
        <f>SUM(C451:H451)</f>
        <v/>
      </c>
      <c r="P451">
        <f>I451</f>
        <v/>
      </c>
      <c r="Q451">
        <f>J451</f>
        <v/>
      </c>
      <c r="R451">
        <f>SUM(K451:M451)</f>
        <v/>
      </c>
      <c r="S451">
        <f>SUM(O451:R451)</f>
        <v/>
      </c>
      <c r="T451" s="3">
        <f>IF(S451=0,"",O451/S451)</f>
        <v/>
      </c>
      <c r="U451" s="3">
        <f>IF(S451=0,"",P451/S451)</f>
        <v/>
      </c>
      <c r="V451" s="3">
        <f>IF(S451=0,"",Q451/S451)</f>
        <v/>
      </c>
      <c r="W451" s="3">
        <f>IF(S451=0,"",R451/S451)</f>
        <v/>
      </c>
      <c r="X451" s="4">
        <f>IF(S451=0,"",T451*Pesos!$B$2+U451*Pesos!$B$3+V451*Pesos!$B$4+W451*Pesos!$B$5)</f>
        <v/>
      </c>
    </row>
    <row r="452">
      <c r="A452" s="2" t="n">
        <v>451</v>
      </c>
      <c r="B452" t="n">
        <v>10</v>
      </c>
      <c r="C452" t="n">
        <v>750</v>
      </c>
      <c r="D452" t="n">
        <v>920</v>
      </c>
      <c r="E452" t="n">
        <v>775</v>
      </c>
      <c r="F452" t="n">
        <v>995</v>
      </c>
      <c r="G452" t="n">
        <v>800</v>
      </c>
      <c r="H452" t="n">
        <v>705</v>
      </c>
      <c r="I452" t="n">
        <v>4930</v>
      </c>
      <c r="J452" t="n">
        <v>2840</v>
      </c>
      <c r="K452" t="n">
        <v>1735</v>
      </c>
      <c r="L452" t="n">
        <v>1255</v>
      </c>
      <c r="M452" t="n">
        <v>140</v>
      </c>
      <c r="N452" s="6" t="n">
        <v>15840</v>
      </c>
      <c r="O452">
        <f>SUM(C452:H452)</f>
        <v/>
      </c>
      <c r="P452">
        <f>I452</f>
        <v/>
      </c>
      <c r="Q452">
        <f>J452</f>
        <v/>
      </c>
      <c r="R452">
        <f>SUM(K452:M452)</f>
        <v/>
      </c>
      <c r="S452">
        <f>SUM(O452:R452)</f>
        <v/>
      </c>
      <c r="T452" s="3">
        <f>IF(S452=0,"",O452/S452)</f>
        <v/>
      </c>
      <c r="U452" s="3">
        <f>IF(S452=0,"",P452/S452)</f>
        <v/>
      </c>
      <c r="V452" s="3">
        <f>IF(S452=0,"",Q452/S452)</f>
        <v/>
      </c>
      <c r="W452" s="3">
        <f>IF(S452=0,"",R452/S452)</f>
        <v/>
      </c>
      <c r="X452" s="4">
        <f>IF(S452=0,"",T452*Pesos!$B$2+U452*Pesos!$B$3+V452*Pesos!$B$4+W452*Pesos!$B$5)</f>
        <v/>
      </c>
    </row>
    <row r="453">
      <c r="A453" s="2" t="n">
        <v>452</v>
      </c>
      <c r="B453" t="n">
        <v>8</v>
      </c>
      <c r="C453" t="n">
        <v>675</v>
      </c>
      <c r="D453" t="n">
        <v>680</v>
      </c>
      <c r="E453" t="n">
        <v>975</v>
      </c>
      <c r="F453" t="n">
        <v>525</v>
      </c>
      <c r="G453" t="n">
        <v>390</v>
      </c>
      <c r="H453" t="n">
        <v>920</v>
      </c>
      <c r="I453" t="n">
        <v>2775</v>
      </c>
      <c r="J453" t="n">
        <v>1270</v>
      </c>
      <c r="K453" t="n">
        <v>855</v>
      </c>
      <c r="L453" t="n">
        <v>2265</v>
      </c>
      <c r="M453" t="n">
        <v>465</v>
      </c>
      <c r="N453" s="6" t="n">
        <v>11795</v>
      </c>
      <c r="O453">
        <f>SUM(C453:H453)</f>
        <v/>
      </c>
      <c r="P453">
        <f>I453</f>
        <v/>
      </c>
      <c r="Q453">
        <f>J453</f>
        <v/>
      </c>
      <c r="R453">
        <f>SUM(K453:M453)</f>
        <v/>
      </c>
      <c r="S453">
        <f>SUM(O453:R453)</f>
        <v/>
      </c>
      <c r="T453" s="3">
        <f>IF(S453=0,"",O453/S453)</f>
        <v/>
      </c>
      <c r="U453" s="3">
        <f>IF(S453=0,"",P453/S453)</f>
        <v/>
      </c>
      <c r="V453" s="3">
        <f>IF(S453=0,"",Q453/S453)</f>
        <v/>
      </c>
      <c r="W453" s="3">
        <f>IF(S453=0,"",R453/S453)</f>
        <v/>
      </c>
      <c r="X453" s="4">
        <f>IF(S453=0,"",T453*Pesos!$B$2+U453*Pesos!$B$3+V453*Pesos!$B$4+W453*Pesos!$B$5)</f>
        <v/>
      </c>
    </row>
    <row r="454">
      <c r="A454" s="2" t="n">
        <v>453</v>
      </c>
      <c r="B454" t="n">
        <v>10</v>
      </c>
      <c r="C454" t="n">
        <v>1395</v>
      </c>
      <c r="D454" t="n">
        <v>1810</v>
      </c>
      <c r="E454" t="n">
        <v>1595</v>
      </c>
      <c r="F454" t="n">
        <v>1445</v>
      </c>
      <c r="G454" t="n">
        <v>2305</v>
      </c>
      <c r="H454" t="n">
        <v>3740</v>
      </c>
      <c r="I454" t="n">
        <v>8320</v>
      </c>
      <c r="J454" t="n">
        <v>2835</v>
      </c>
      <c r="K454" t="n">
        <v>355</v>
      </c>
      <c r="L454" t="n">
        <v>215</v>
      </c>
      <c r="M454" s="7" t="n">
        <v>35</v>
      </c>
      <c r="N454" s="6" t="n">
        <v>24055</v>
      </c>
      <c r="O454">
        <f>SUM(C454:H454)</f>
        <v/>
      </c>
      <c r="P454">
        <f>I454</f>
        <v/>
      </c>
      <c r="Q454">
        <f>J454</f>
        <v/>
      </c>
      <c r="R454">
        <f>SUM(K454:M454)</f>
        <v/>
      </c>
      <c r="S454">
        <f>SUM(O454:R454)</f>
        <v/>
      </c>
      <c r="T454" s="3">
        <f>IF(S454=0,"",O454/S454)</f>
        <v/>
      </c>
      <c r="U454" s="3">
        <f>IF(S454=0,"",P454/S454)</f>
        <v/>
      </c>
      <c r="V454" s="3">
        <f>IF(S454=0,"",Q454/S454)</f>
        <v/>
      </c>
      <c r="W454" s="3">
        <f>IF(S454=0,"",R454/S454)</f>
        <v/>
      </c>
      <c r="X454" s="4">
        <f>IF(S454=0,"",T454*Pesos!$B$2+U454*Pesos!$B$3+V454*Pesos!$B$4+W454*Pesos!$B$5)</f>
        <v/>
      </c>
    </row>
    <row r="455">
      <c r="A455" s="2" t="n">
        <v>454</v>
      </c>
      <c r="B455" t="n">
        <v>9</v>
      </c>
      <c r="C455" t="n">
        <v>1865</v>
      </c>
      <c r="D455" t="n">
        <v>2285</v>
      </c>
      <c r="E455" t="n">
        <v>960</v>
      </c>
      <c r="F455" t="n">
        <v>725</v>
      </c>
      <c r="G455" t="n">
        <v>1070</v>
      </c>
      <c r="H455" t="n">
        <v>1300</v>
      </c>
      <c r="I455" t="n">
        <v>4550</v>
      </c>
      <c r="J455" t="n">
        <v>3005</v>
      </c>
      <c r="K455" t="n">
        <v>1120</v>
      </c>
      <c r="L455" t="n">
        <v>955</v>
      </c>
      <c r="M455" t="n">
        <v>195</v>
      </c>
      <c r="N455" s="6" t="n">
        <v>18020</v>
      </c>
      <c r="O455">
        <f>SUM(C455:H455)</f>
        <v/>
      </c>
      <c r="P455">
        <f>I455</f>
        <v/>
      </c>
      <c r="Q455">
        <f>J455</f>
        <v/>
      </c>
      <c r="R455">
        <f>SUM(K455:M455)</f>
        <v/>
      </c>
      <c r="S455">
        <f>SUM(O455:R455)</f>
        <v/>
      </c>
      <c r="T455" s="3">
        <f>IF(S455=0,"",O455/S455)</f>
        <v/>
      </c>
      <c r="U455" s="3">
        <f>IF(S455=0,"",P455/S455)</f>
        <v/>
      </c>
      <c r="V455" s="3">
        <f>IF(S455=0,"",Q455/S455)</f>
        <v/>
      </c>
      <c r="W455" s="3">
        <f>IF(S455=0,"",R455/S455)</f>
        <v/>
      </c>
      <c r="X455" s="4">
        <f>IF(S455=0,"",T455*Pesos!$B$2+U455*Pesos!$B$3+V455*Pesos!$B$4+W455*Pesos!$B$5)</f>
        <v/>
      </c>
    </row>
    <row r="456">
      <c r="A456" s="2" t="n">
        <v>455</v>
      </c>
      <c r="B456" t="n">
        <v>7</v>
      </c>
      <c r="C456" t="n">
        <v>580</v>
      </c>
      <c r="D456" t="n">
        <v>505</v>
      </c>
      <c r="E456" t="n">
        <v>620</v>
      </c>
      <c r="F456" t="n">
        <v>355</v>
      </c>
      <c r="G456" t="n">
        <v>565</v>
      </c>
      <c r="H456" t="n">
        <v>700</v>
      </c>
      <c r="I456" t="n">
        <v>2095</v>
      </c>
      <c r="J456" t="n">
        <v>2880</v>
      </c>
      <c r="K456" t="n">
        <v>1025</v>
      </c>
      <c r="L456" t="n">
        <v>765</v>
      </c>
      <c r="M456" t="n">
        <v>200</v>
      </c>
      <c r="N456" s="6" t="n">
        <v>10290</v>
      </c>
      <c r="O456">
        <f>SUM(C456:H456)</f>
        <v/>
      </c>
      <c r="P456">
        <f>I456</f>
        <v/>
      </c>
      <c r="Q456">
        <f>J456</f>
        <v/>
      </c>
      <c r="R456">
        <f>SUM(K456:M456)</f>
        <v/>
      </c>
      <c r="S456">
        <f>SUM(O456:R456)</f>
        <v/>
      </c>
      <c r="T456" s="3">
        <f>IF(S456=0,"",O456/S456)</f>
        <v/>
      </c>
      <c r="U456" s="3">
        <f>IF(S456=0,"",P456/S456)</f>
        <v/>
      </c>
      <c r="V456" s="3">
        <f>IF(S456=0,"",Q456/S456)</f>
        <v/>
      </c>
      <c r="W456" s="3">
        <f>IF(S456=0,"",R456/S456)</f>
        <v/>
      </c>
      <c r="X456" s="4">
        <f>IF(S456=0,"",T456*Pesos!$B$2+U456*Pesos!$B$3+V456*Pesos!$B$4+W456*Pesos!$B$5)</f>
        <v/>
      </c>
    </row>
    <row r="457">
      <c r="A457" s="2" t="n">
        <v>456</v>
      </c>
      <c r="B457" t="n">
        <v>7</v>
      </c>
      <c r="C457" t="n">
        <v>1605</v>
      </c>
      <c r="D457" t="n">
        <v>1760</v>
      </c>
      <c r="E457" t="n">
        <v>2020</v>
      </c>
      <c r="F457" t="n">
        <v>1845</v>
      </c>
      <c r="G457" t="n">
        <v>3125</v>
      </c>
      <c r="H457" t="n">
        <v>2200</v>
      </c>
      <c r="I457" t="n">
        <v>2445</v>
      </c>
      <c r="J457" t="n">
        <v>985</v>
      </c>
      <c r="K457" t="n">
        <v>380</v>
      </c>
      <c r="L457" t="n">
        <v>315</v>
      </c>
      <c r="M457" s="7" t="n">
        <v>30</v>
      </c>
      <c r="N457" s="6" t="n">
        <v>16715</v>
      </c>
      <c r="O457">
        <f>SUM(C457:H457)</f>
        <v/>
      </c>
      <c r="P457">
        <f>I457</f>
        <v/>
      </c>
      <c r="Q457">
        <f>J457</f>
        <v/>
      </c>
      <c r="R457">
        <f>SUM(K457:M457)</f>
        <v/>
      </c>
      <c r="S457">
        <f>SUM(O457:R457)</f>
        <v/>
      </c>
      <c r="T457" s="3">
        <f>IF(S457=0,"",O457/S457)</f>
        <v/>
      </c>
      <c r="U457" s="3">
        <f>IF(S457=0,"",P457/S457)</f>
        <v/>
      </c>
      <c r="V457" s="3">
        <f>IF(S457=0,"",Q457/S457)</f>
        <v/>
      </c>
      <c r="W457" s="3">
        <f>IF(S457=0,"",R457/S457)</f>
        <v/>
      </c>
      <c r="X457" s="4">
        <f>IF(S457=0,"",T457*Pesos!$B$2+U457*Pesos!$B$3+V457*Pesos!$B$4+W457*Pesos!$B$5)</f>
        <v/>
      </c>
    </row>
    <row r="458">
      <c r="A458" s="2" t="n">
        <v>457</v>
      </c>
      <c r="B458" t="n">
        <v>13</v>
      </c>
      <c r="C458" t="n">
        <v>2605</v>
      </c>
      <c r="D458" t="n">
        <v>2985</v>
      </c>
      <c r="E458" t="n">
        <v>2365</v>
      </c>
      <c r="F458" t="n">
        <v>1680</v>
      </c>
      <c r="G458" t="n">
        <v>1865</v>
      </c>
      <c r="H458" t="n">
        <v>4020</v>
      </c>
      <c r="I458" t="n">
        <v>8760</v>
      </c>
      <c r="J458" t="n">
        <v>7645</v>
      </c>
      <c r="K458" t="n">
        <v>1640</v>
      </c>
      <c r="L458" t="n">
        <v>435</v>
      </c>
      <c r="M458" t="n">
        <v>205</v>
      </c>
      <c r="N458" s="6" t="n">
        <v>34210</v>
      </c>
      <c r="O458">
        <f>SUM(C458:H458)</f>
        <v/>
      </c>
      <c r="P458">
        <f>I458</f>
        <v/>
      </c>
      <c r="Q458">
        <f>J458</f>
        <v/>
      </c>
      <c r="R458">
        <f>SUM(K458:M458)</f>
        <v/>
      </c>
      <c r="S458">
        <f>SUM(O458:R458)</f>
        <v/>
      </c>
      <c r="T458" s="3">
        <f>IF(S458=0,"",O458/S458)</f>
        <v/>
      </c>
      <c r="U458" s="3">
        <f>IF(S458=0,"",P458/S458)</f>
        <v/>
      </c>
      <c r="V458" s="3">
        <f>IF(S458=0,"",Q458/S458)</f>
        <v/>
      </c>
      <c r="W458" s="3">
        <f>IF(S458=0,"",R458/S458)</f>
        <v/>
      </c>
      <c r="X458" s="4">
        <f>IF(S458=0,"",T458*Pesos!$B$2+U458*Pesos!$B$3+V458*Pesos!$B$4+W458*Pesos!$B$5)</f>
        <v/>
      </c>
    </row>
    <row r="459">
      <c r="A459" s="2" t="n">
        <v>458</v>
      </c>
      <c r="B459" t="n">
        <v>8</v>
      </c>
      <c r="C459" t="n">
        <v>295</v>
      </c>
      <c r="D459" t="n">
        <v>580</v>
      </c>
      <c r="E459" t="n">
        <v>630</v>
      </c>
      <c r="F459" t="n">
        <v>1100</v>
      </c>
      <c r="G459" t="n">
        <v>1280</v>
      </c>
      <c r="H459" t="n">
        <v>730</v>
      </c>
      <c r="I459" t="n">
        <v>2845</v>
      </c>
      <c r="J459" t="n">
        <v>3180</v>
      </c>
      <c r="K459" t="n">
        <v>1885</v>
      </c>
      <c r="L459" t="n">
        <v>805</v>
      </c>
      <c r="M459" t="n">
        <v>305</v>
      </c>
      <c r="N459" s="6" t="n">
        <v>13635</v>
      </c>
      <c r="O459">
        <f>SUM(C459:H459)</f>
        <v/>
      </c>
      <c r="P459">
        <f>I459</f>
        <v/>
      </c>
      <c r="Q459">
        <f>J459</f>
        <v/>
      </c>
      <c r="R459">
        <f>SUM(K459:M459)</f>
        <v/>
      </c>
      <c r="S459">
        <f>SUM(O459:R459)</f>
        <v/>
      </c>
      <c r="T459" s="3">
        <f>IF(S459=0,"",O459/S459)</f>
        <v/>
      </c>
      <c r="U459" s="3">
        <f>IF(S459=0,"",P459/S459)</f>
        <v/>
      </c>
      <c r="V459" s="3">
        <f>IF(S459=0,"",Q459/S459)</f>
        <v/>
      </c>
      <c r="W459" s="3">
        <f>IF(S459=0,"",R459/S459)</f>
        <v/>
      </c>
      <c r="X459" s="4">
        <f>IF(S459=0,"",T459*Pesos!$B$2+U459*Pesos!$B$3+V459*Pesos!$B$4+W459*Pesos!$B$5)</f>
        <v/>
      </c>
    </row>
    <row r="460">
      <c r="A460" s="2" t="n">
        <v>459</v>
      </c>
      <c r="B460" t="n">
        <v>9</v>
      </c>
      <c r="C460" t="n">
        <v>500</v>
      </c>
      <c r="D460" t="n">
        <v>900</v>
      </c>
      <c r="E460" t="n">
        <v>950</v>
      </c>
      <c r="F460" t="n">
        <v>605</v>
      </c>
      <c r="G460" t="n">
        <v>1195</v>
      </c>
      <c r="H460" t="n">
        <v>920</v>
      </c>
      <c r="I460" t="n">
        <v>3030</v>
      </c>
      <c r="J460" t="n">
        <v>4675</v>
      </c>
      <c r="K460" t="n">
        <v>4305</v>
      </c>
      <c r="L460" t="n">
        <v>60</v>
      </c>
      <c r="M460" s="7" t="n">
        <v>30</v>
      </c>
      <c r="N460" s="6" t="n">
        <v>17170</v>
      </c>
      <c r="O460">
        <f>SUM(C460:H460)</f>
        <v/>
      </c>
      <c r="P460">
        <f>I460</f>
        <v/>
      </c>
      <c r="Q460">
        <f>J460</f>
        <v/>
      </c>
      <c r="R460">
        <f>SUM(K460:M460)</f>
        <v/>
      </c>
      <c r="S460">
        <f>SUM(O460:R460)</f>
        <v/>
      </c>
      <c r="T460" s="3">
        <f>IF(S460=0,"",O460/S460)</f>
        <v/>
      </c>
      <c r="U460" s="3">
        <f>IF(S460=0,"",P460/S460)</f>
        <v/>
      </c>
      <c r="V460" s="3">
        <f>IF(S460=0,"",Q460/S460)</f>
        <v/>
      </c>
      <c r="W460" s="3">
        <f>IF(S460=0,"",R460/S460)</f>
        <v/>
      </c>
      <c r="X460" s="4">
        <f>IF(S460=0,"",T460*Pesos!$B$2+U460*Pesos!$B$3+V460*Pesos!$B$4+W460*Pesos!$B$5)</f>
        <v/>
      </c>
    </row>
    <row r="461">
      <c r="A461" s="2" t="n">
        <v>460</v>
      </c>
      <c r="B461" t="n">
        <v>13</v>
      </c>
      <c r="C461" t="n">
        <v>665</v>
      </c>
      <c r="D461" t="n">
        <v>1435</v>
      </c>
      <c r="E461" t="n">
        <v>995</v>
      </c>
      <c r="F461" t="n">
        <v>645</v>
      </c>
      <c r="G461" t="n">
        <v>1090</v>
      </c>
      <c r="H461" t="n">
        <v>1120</v>
      </c>
      <c r="I461" t="n">
        <v>3700</v>
      </c>
      <c r="J461" t="n">
        <v>11625</v>
      </c>
      <c r="K461" t="n">
        <v>2185</v>
      </c>
      <c r="L461" t="n">
        <v>125</v>
      </c>
      <c r="M461" t="n">
        <v>95</v>
      </c>
      <c r="N461" s="6" t="n">
        <v>23680</v>
      </c>
      <c r="O461">
        <f>SUM(C461:H461)</f>
        <v/>
      </c>
      <c r="P461">
        <f>I461</f>
        <v/>
      </c>
      <c r="Q461">
        <f>J461</f>
        <v/>
      </c>
      <c r="R461">
        <f>SUM(K461:M461)</f>
        <v/>
      </c>
      <c r="S461">
        <f>SUM(O461:R461)</f>
        <v/>
      </c>
      <c r="T461" s="3">
        <f>IF(S461=0,"",O461/S461)</f>
        <v/>
      </c>
      <c r="U461" s="3">
        <f>IF(S461=0,"",P461/S461)</f>
        <v/>
      </c>
      <c r="V461" s="3">
        <f>IF(S461=0,"",Q461/S461)</f>
        <v/>
      </c>
      <c r="W461" s="3">
        <f>IF(S461=0,"",R461/S461)</f>
        <v/>
      </c>
      <c r="X461" s="4">
        <f>IF(S461=0,"",T461*Pesos!$B$2+U461*Pesos!$B$3+V461*Pesos!$B$4+W461*Pesos!$B$5)</f>
        <v/>
      </c>
    </row>
    <row r="462">
      <c r="A462" s="2" t="n">
        <v>461</v>
      </c>
      <c r="B462" t="n">
        <v>11</v>
      </c>
      <c r="C462" t="n">
        <v>1305</v>
      </c>
      <c r="D462" t="n">
        <v>1510</v>
      </c>
      <c r="E462" t="n">
        <v>855</v>
      </c>
      <c r="F462" t="n">
        <v>775</v>
      </c>
      <c r="G462" t="n">
        <v>550</v>
      </c>
      <c r="H462" t="n">
        <v>380</v>
      </c>
      <c r="I462" t="n">
        <v>2255</v>
      </c>
      <c r="J462" t="n">
        <v>1945</v>
      </c>
      <c r="K462" t="n">
        <v>1595</v>
      </c>
      <c r="L462" t="n">
        <v>1145</v>
      </c>
      <c r="M462" t="n">
        <v>1230</v>
      </c>
      <c r="N462" s="6" t="n">
        <v>13545</v>
      </c>
      <c r="O462">
        <f>SUM(C462:H462)</f>
        <v/>
      </c>
      <c r="P462">
        <f>I462</f>
        <v/>
      </c>
      <c r="Q462">
        <f>J462</f>
        <v/>
      </c>
      <c r="R462">
        <f>SUM(K462:M462)</f>
        <v/>
      </c>
      <c r="S462">
        <f>SUM(O462:R462)</f>
        <v/>
      </c>
      <c r="T462" s="3">
        <f>IF(S462=0,"",O462/S462)</f>
        <v/>
      </c>
      <c r="U462" s="3">
        <f>IF(S462=0,"",P462/S462)</f>
        <v/>
      </c>
      <c r="V462" s="3">
        <f>IF(S462=0,"",Q462/S462)</f>
        <v/>
      </c>
      <c r="W462" s="3">
        <f>IF(S462=0,"",R462/S462)</f>
        <v/>
      </c>
      <c r="X462" s="4">
        <f>IF(S462=0,"",T462*Pesos!$B$2+U462*Pesos!$B$3+V462*Pesos!$B$4+W462*Pesos!$B$5)</f>
        <v/>
      </c>
    </row>
    <row r="463">
      <c r="A463" s="2" t="n">
        <v>462</v>
      </c>
      <c r="B463" t="n">
        <v>8</v>
      </c>
      <c r="C463" t="n">
        <v>1355</v>
      </c>
      <c r="D463" t="n">
        <v>1260</v>
      </c>
      <c r="E463" t="n">
        <v>1245</v>
      </c>
      <c r="F463" t="n">
        <v>710</v>
      </c>
      <c r="G463" t="n">
        <v>670</v>
      </c>
      <c r="H463" t="n">
        <v>425</v>
      </c>
      <c r="I463" t="n">
        <v>1495</v>
      </c>
      <c r="J463" t="n">
        <v>1400</v>
      </c>
      <c r="K463" t="n">
        <v>960</v>
      </c>
      <c r="L463" t="n">
        <v>580</v>
      </c>
      <c r="M463" t="n">
        <v>1070</v>
      </c>
      <c r="N463" s="6" t="n">
        <v>11175</v>
      </c>
      <c r="O463">
        <f>SUM(C463:H463)</f>
        <v/>
      </c>
      <c r="P463">
        <f>I463</f>
        <v/>
      </c>
      <c r="Q463">
        <f>J463</f>
        <v/>
      </c>
      <c r="R463">
        <f>SUM(K463:M463)</f>
        <v/>
      </c>
      <c r="S463">
        <f>SUM(O463:R463)</f>
        <v/>
      </c>
      <c r="T463" s="3">
        <f>IF(S463=0,"",O463/S463)</f>
        <v/>
      </c>
      <c r="U463" s="3">
        <f>IF(S463=0,"",P463/S463)</f>
        <v/>
      </c>
      <c r="V463" s="3">
        <f>IF(S463=0,"",Q463/S463)</f>
        <v/>
      </c>
      <c r="W463" s="3">
        <f>IF(S463=0,"",R463/S463)</f>
        <v/>
      </c>
      <c r="X463" s="4">
        <f>IF(S463=0,"",T463*Pesos!$B$2+U463*Pesos!$B$3+V463*Pesos!$B$4+W463*Pesos!$B$5)</f>
        <v/>
      </c>
    </row>
    <row r="464">
      <c r="A464" s="2" t="n">
        <v>463</v>
      </c>
      <c r="B464" t="n">
        <v>8</v>
      </c>
      <c r="C464" t="n">
        <v>945</v>
      </c>
      <c r="D464" t="n">
        <v>835</v>
      </c>
      <c r="E464" t="n">
        <v>730</v>
      </c>
      <c r="F464" t="n">
        <v>790</v>
      </c>
      <c r="G464" t="n">
        <v>290</v>
      </c>
      <c r="H464" t="n">
        <v>370</v>
      </c>
      <c r="I464" t="n">
        <v>1705</v>
      </c>
      <c r="J464" t="n">
        <v>1570</v>
      </c>
      <c r="K464" t="n">
        <v>1020</v>
      </c>
      <c r="L464" t="n">
        <v>445</v>
      </c>
      <c r="M464" t="n">
        <v>1010</v>
      </c>
      <c r="N464" s="6" t="n">
        <v>9705</v>
      </c>
      <c r="O464">
        <f>SUM(C464:H464)</f>
        <v/>
      </c>
      <c r="P464">
        <f>I464</f>
        <v/>
      </c>
      <c r="Q464">
        <f>J464</f>
        <v/>
      </c>
      <c r="R464">
        <f>SUM(K464:M464)</f>
        <v/>
      </c>
      <c r="S464">
        <f>SUM(O464:R464)</f>
        <v/>
      </c>
      <c r="T464" s="3">
        <f>IF(S464=0,"",O464/S464)</f>
        <v/>
      </c>
      <c r="U464" s="3">
        <f>IF(S464=0,"",P464/S464)</f>
        <v/>
      </c>
      <c r="V464" s="3">
        <f>IF(S464=0,"",Q464/S464)</f>
        <v/>
      </c>
      <c r="W464" s="3">
        <f>IF(S464=0,"",R464/S464)</f>
        <v/>
      </c>
      <c r="X464" s="4">
        <f>IF(S464=0,"",T464*Pesos!$B$2+U464*Pesos!$B$3+V464*Pesos!$B$4+W464*Pesos!$B$5)</f>
        <v/>
      </c>
    </row>
    <row r="465">
      <c r="A465" s="2" t="n">
        <v>464</v>
      </c>
      <c r="B465" t="n">
        <v>12</v>
      </c>
      <c r="C465" t="n">
        <v>1215</v>
      </c>
      <c r="D465" t="n">
        <v>1760</v>
      </c>
      <c r="E465" t="n">
        <v>1525</v>
      </c>
      <c r="F465" t="n">
        <v>1185</v>
      </c>
      <c r="G465" t="n">
        <v>810</v>
      </c>
      <c r="H465" t="n">
        <v>580</v>
      </c>
      <c r="I465" t="n">
        <v>2490</v>
      </c>
      <c r="J465" t="n">
        <v>3420</v>
      </c>
      <c r="K465" t="n">
        <v>1715</v>
      </c>
      <c r="L465" t="n">
        <v>600</v>
      </c>
      <c r="M465" t="n">
        <v>1250</v>
      </c>
      <c r="N465" s="6" t="n">
        <v>16555</v>
      </c>
      <c r="O465">
        <f>SUM(C465:H465)</f>
        <v/>
      </c>
      <c r="P465">
        <f>I465</f>
        <v/>
      </c>
      <c r="Q465">
        <f>J465</f>
        <v/>
      </c>
      <c r="R465">
        <f>SUM(K465:M465)</f>
        <v/>
      </c>
      <c r="S465">
        <f>SUM(O465:R465)</f>
        <v/>
      </c>
      <c r="T465" s="3">
        <f>IF(S465=0,"",O465/S465)</f>
        <v/>
      </c>
      <c r="U465" s="3">
        <f>IF(S465=0,"",P465/S465)</f>
        <v/>
      </c>
      <c r="V465" s="3">
        <f>IF(S465=0,"",Q465/S465)</f>
        <v/>
      </c>
      <c r="W465" s="3">
        <f>IF(S465=0,"",R465/S465)</f>
        <v/>
      </c>
      <c r="X465" s="4">
        <f>IF(S465=0,"",T465*Pesos!$B$2+U465*Pesos!$B$3+V465*Pesos!$B$4+W465*Pesos!$B$5)</f>
        <v/>
      </c>
    </row>
    <row r="466">
      <c r="A466" s="2" t="n">
        <v>465</v>
      </c>
      <c r="B466" t="n">
        <v>11</v>
      </c>
      <c r="C466" t="n">
        <v>1160</v>
      </c>
      <c r="D466" t="n">
        <v>940</v>
      </c>
      <c r="E466" t="n">
        <v>760</v>
      </c>
      <c r="F466" t="n">
        <v>820</v>
      </c>
      <c r="G466" t="n">
        <v>535</v>
      </c>
      <c r="H466" t="n">
        <v>300</v>
      </c>
      <c r="I466" t="n">
        <v>1335</v>
      </c>
      <c r="J466" t="n">
        <v>1445</v>
      </c>
      <c r="K466" t="n">
        <v>855</v>
      </c>
      <c r="L466" t="n">
        <v>600</v>
      </c>
      <c r="M466" t="n">
        <v>905</v>
      </c>
      <c r="N466" s="6" t="n">
        <v>9665</v>
      </c>
      <c r="O466">
        <f>SUM(C466:H466)</f>
        <v/>
      </c>
      <c r="P466">
        <f>I466</f>
        <v/>
      </c>
      <c r="Q466">
        <f>J466</f>
        <v/>
      </c>
      <c r="R466">
        <f>SUM(K466:M466)</f>
        <v/>
      </c>
      <c r="S466">
        <f>SUM(O466:R466)</f>
        <v/>
      </c>
      <c r="T466" s="3">
        <f>IF(S466=0,"",O466/S466)</f>
        <v/>
      </c>
      <c r="U466" s="3">
        <f>IF(S466=0,"",P466/S466)</f>
        <v/>
      </c>
      <c r="V466" s="3">
        <f>IF(S466=0,"",Q466/S466)</f>
        <v/>
      </c>
      <c r="W466" s="3">
        <f>IF(S466=0,"",R466/S466)</f>
        <v/>
      </c>
      <c r="X466" s="4">
        <f>IF(S466=0,"",T466*Pesos!$B$2+U466*Pesos!$B$3+V466*Pesos!$B$4+W466*Pesos!$B$5)</f>
        <v/>
      </c>
    </row>
    <row r="467">
      <c r="A467" s="2" t="n">
        <v>466</v>
      </c>
      <c r="B467" t="n">
        <v>10</v>
      </c>
      <c r="C467" t="n">
        <v>175</v>
      </c>
      <c r="D467" t="n">
        <v>590</v>
      </c>
      <c r="E467" t="n">
        <v>320</v>
      </c>
      <c r="F467" t="n">
        <v>135</v>
      </c>
      <c r="G467" t="n">
        <v>235</v>
      </c>
      <c r="H467" t="n">
        <v>70</v>
      </c>
      <c r="I467" t="n">
        <v>660</v>
      </c>
      <c r="J467" t="n">
        <v>1490</v>
      </c>
      <c r="K467" t="n">
        <v>990</v>
      </c>
      <c r="L467" t="n">
        <v>1930</v>
      </c>
      <c r="M467" t="n">
        <v>885</v>
      </c>
      <c r="N467" s="6" t="n">
        <v>7485</v>
      </c>
      <c r="O467">
        <f>SUM(C467:H467)</f>
        <v/>
      </c>
      <c r="P467">
        <f>I467</f>
        <v/>
      </c>
      <c r="Q467">
        <f>J467</f>
        <v/>
      </c>
      <c r="R467">
        <f>SUM(K467:M467)</f>
        <v/>
      </c>
      <c r="S467">
        <f>SUM(O467:R467)</f>
        <v/>
      </c>
      <c r="T467" s="3">
        <f>IF(S467=0,"",O467/S467)</f>
        <v/>
      </c>
      <c r="U467" s="3">
        <f>IF(S467=0,"",P467/S467)</f>
        <v/>
      </c>
      <c r="V467" s="3">
        <f>IF(S467=0,"",Q467/S467)</f>
        <v/>
      </c>
      <c r="W467" s="3">
        <f>IF(S467=0,"",R467/S467)</f>
        <v/>
      </c>
      <c r="X467" s="4">
        <f>IF(S467=0,"",T467*Pesos!$B$2+U467*Pesos!$B$3+V467*Pesos!$B$4+W467*Pesos!$B$5)</f>
        <v/>
      </c>
    </row>
    <row r="468">
      <c r="A468" s="2" t="n">
        <v>467</v>
      </c>
      <c r="B468" t="n">
        <v>10</v>
      </c>
      <c r="C468" t="n">
        <v>310</v>
      </c>
      <c r="D468" t="n">
        <v>745</v>
      </c>
      <c r="E468" t="n">
        <v>335</v>
      </c>
      <c r="F468" t="n">
        <v>305</v>
      </c>
      <c r="G468" t="n">
        <v>145</v>
      </c>
      <c r="H468" t="n">
        <v>170</v>
      </c>
      <c r="I468" t="n">
        <v>1175</v>
      </c>
      <c r="J468" t="n">
        <v>1705</v>
      </c>
      <c r="K468" t="n">
        <v>1110</v>
      </c>
      <c r="L468" t="n">
        <v>1640</v>
      </c>
      <c r="M468" t="n">
        <v>1460</v>
      </c>
      <c r="N468" s="6" t="n">
        <v>9095</v>
      </c>
      <c r="O468">
        <f>SUM(C468:H468)</f>
        <v/>
      </c>
      <c r="P468">
        <f>I468</f>
        <v/>
      </c>
      <c r="Q468">
        <f>J468</f>
        <v/>
      </c>
      <c r="R468">
        <f>SUM(K468:M468)</f>
        <v/>
      </c>
      <c r="S468">
        <f>SUM(O468:R468)</f>
        <v/>
      </c>
      <c r="T468" s="3">
        <f>IF(S468=0,"",O468/S468)</f>
        <v/>
      </c>
      <c r="U468" s="3">
        <f>IF(S468=0,"",P468/S468)</f>
        <v/>
      </c>
      <c r="V468" s="3">
        <f>IF(S468=0,"",Q468/S468)</f>
        <v/>
      </c>
      <c r="W468" s="3">
        <f>IF(S468=0,"",R468/S468)</f>
        <v/>
      </c>
      <c r="X468" s="4">
        <f>IF(S468=0,"",T468*Pesos!$B$2+U468*Pesos!$B$3+V468*Pesos!$B$4+W468*Pesos!$B$5)</f>
        <v/>
      </c>
    </row>
    <row r="469">
      <c r="A469" s="2" t="n">
        <v>468</v>
      </c>
      <c r="B469" t="n">
        <v>7</v>
      </c>
      <c r="C469" t="n">
        <v>845</v>
      </c>
      <c r="D469" t="n">
        <v>275</v>
      </c>
      <c r="E469" t="n">
        <v>430</v>
      </c>
      <c r="F469" t="n">
        <v>415</v>
      </c>
      <c r="G469" t="n">
        <v>325</v>
      </c>
      <c r="H469" t="n">
        <v>485</v>
      </c>
      <c r="I469" t="n">
        <v>1715</v>
      </c>
      <c r="J469" t="n">
        <v>3060</v>
      </c>
      <c r="K469" t="n">
        <v>680</v>
      </c>
      <c r="L469" t="n">
        <v>630</v>
      </c>
      <c r="M469" t="n">
        <v>905</v>
      </c>
      <c r="N469" s="6" t="n">
        <v>9775</v>
      </c>
      <c r="O469">
        <f>SUM(C469:H469)</f>
        <v/>
      </c>
      <c r="P469">
        <f>I469</f>
        <v/>
      </c>
      <c r="Q469">
        <f>J469</f>
        <v/>
      </c>
      <c r="R469">
        <f>SUM(K469:M469)</f>
        <v/>
      </c>
      <c r="S469">
        <f>SUM(O469:R469)</f>
        <v/>
      </c>
      <c r="T469" s="3">
        <f>IF(S469=0,"",O469/S469)</f>
        <v/>
      </c>
      <c r="U469" s="3">
        <f>IF(S469=0,"",P469/S469)</f>
        <v/>
      </c>
      <c r="V469" s="3">
        <f>IF(S469=0,"",Q469/S469)</f>
        <v/>
      </c>
      <c r="W469" s="3">
        <f>IF(S469=0,"",R469/S469)</f>
        <v/>
      </c>
      <c r="X469" s="4">
        <f>IF(S469=0,"",T469*Pesos!$B$2+U469*Pesos!$B$3+V469*Pesos!$B$4+W469*Pesos!$B$5)</f>
        <v/>
      </c>
    </row>
    <row r="470">
      <c r="A470" s="2" t="n">
        <v>469</v>
      </c>
      <c r="B470" t="n">
        <v>11</v>
      </c>
      <c r="C470" t="n">
        <v>1255</v>
      </c>
      <c r="D470" t="n">
        <v>690</v>
      </c>
      <c r="E470" t="n">
        <v>400</v>
      </c>
      <c r="F470" t="n">
        <v>425</v>
      </c>
      <c r="G470" t="n">
        <v>265</v>
      </c>
      <c r="H470" t="n">
        <v>585</v>
      </c>
      <c r="I470" t="n">
        <v>1450</v>
      </c>
      <c r="J470" t="n">
        <v>1830</v>
      </c>
      <c r="K470" t="n">
        <v>3320</v>
      </c>
      <c r="L470" t="n">
        <v>700</v>
      </c>
      <c r="M470" t="n">
        <v>1115</v>
      </c>
      <c r="N470" s="6" t="n">
        <v>12045</v>
      </c>
      <c r="O470">
        <f>SUM(C470:H470)</f>
        <v/>
      </c>
      <c r="P470">
        <f>I470</f>
        <v/>
      </c>
      <c r="Q470">
        <f>J470</f>
        <v/>
      </c>
      <c r="R470">
        <f>SUM(K470:M470)</f>
        <v/>
      </c>
      <c r="S470">
        <f>SUM(O470:R470)</f>
        <v/>
      </c>
      <c r="T470" s="3">
        <f>IF(S470=0,"",O470/S470)</f>
        <v/>
      </c>
      <c r="U470" s="3">
        <f>IF(S470=0,"",P470/S470)</f>
        <v/>
      </c>
      <c r="V470" s="3">
        <f>IF(S470=0,"",Q470/S470)</f>
        <v/>
      </c>
      <c r="W470" s="3">
        <f>IF(S470=0,"",R470/S470)</f>
        <v/>
      </c>
      <c r="X470" s="4">
        <f>IF(S470=0,"",T470*Pesos!$B$2+U470*Pesos!$B$3+V470*Pesos!$B$4+W470*Pesos!$B$5)</f>
        <v/>
      </c>
    </row>
    <row r="471">
      <c r="A471" s="2" t="n">
        <v>470</v>
      </c>
      <c r="B471" t="n">
        <v>9</v>
      </c>
      <c r="C471" t="n">
        <v>1000</v>
      </c>
      <c r="D471" t="n">
        <v>1170</v>
      </c>
      <c r="E471" t="n">
        <v>480</v>
      </c>
      <c r="F471" t="n">
        <v>605</v>
      </c>
      <c r="G471" t="n">
        <v>475</v>
      </c>
      <c r="H471" t="n">
        <v>420</v>
      </c>
      <c r="I471" t="n">
        <v>2330</v>
      </c>
      <c r="J471" t="n">
        <v>2290</v>
      </c>
      <c r="K471" t="n">
        <v>3045</v>
      </c>
      <c r="L471" t="n">
        <v>320</v>
      </c>
      <c r="M471" t="n">
        <v>1140</v>
      </c>
      <c r="N471" s="6" t="n">
        <v>13280</v>
      </c>
      <c r="O471">
        <f>SUM(C471:H471)</f>
        <v/>
      </c>
      <c r="P471">
        <f>I471</f>
        <v/>
      </c>
      <c r="Q471">
        <f>J471</f>
        <v/>
      </c>
      <c r="R471">
        <f>SUM(K471:M471)</f>
        <v/>
      </c>
      <c r="S471">
        <f>SUM(O471:R471)</f>
        <v/>
      </c>
      <c r="T471" s="3">
        <f>IF(S471=0,"",O471/S471)</f>
        <v/>
      </c>
      <c r="U471" s="3">
        <f>IF(S471=0,"",P471/S471)</f>
        <v/>
      </c>
      <c r="V471" s="3">
        <f>IF(S471=0,"",Q471/S471)</f>
        <v/>
      </c>
      <c r="W471" s="3">
        <f>IF(S471=0,"",R471/S471)</f>
        <v/>
      </c>
      <c r="X471" s="4">
        <f>IF(S471=0,"",T471*Pesos!$B$2+U471*Pesos!$B$3+V471*Pesos!$B$4+W471*Pesos!$B$5)</f>
        <v/>
      </c>
    </row>
    <row r="472">
      <c r="A472" s="2" t="n">
        <v>471</v>
      </c>
      <c r="B472" t="n">
        <v>10</v>
      </c>
      <c r="C472" t="n">
        <v>610</v>
      </c>
      <c r="D472" t="n">
        <v>425</v>
      </c>
      <c r="E472" t="n">
        <v>335</v>
      </c>
      <c r="F472" t="n">
        <v>280</v>
      </c>
      <c r="G472" t="n">
        <v>425</v>
      </c>
      <c r="H472" t="n">
        <v>330</v>
      </c>
      <c r="I472" t="n">
        <v>945</v>
      </c>
      <c r="J472" t="n">
        <v>1830</v>
      </c>
      <c r="K472" t="n">
        <v>3090</v>
      </c>
      <c r="L472" t="n">
        <v>1645</v>
      </c>
      <c r="M472" t="n">
        <v>810</v>
      </c>
      <c r="N472" s="6" t="n">
        <v>10720</v>
      </c>
      <c r="O472">
        <f>SUM(C472:H472)</f>
        <v/>
      </c>
      <c r="P472">
        <f>I472</f>
        <v/>
      </c>
      <c r="Q472">
        <f>J472</f>
        <v/>
      </c>
      <c r="R472">
        <f>SUM(K472:M472)</f>
        <v/>
      </c>
      <c r="S472">
        <f>SUM(O472:R472)</f>
        <v/>
      </c>
      <c r="T472" s="3">
        <f>IF(S472=0,"",O472/S472)</f>
        <v/>
      </c>
      <c r="U472" s="3">
        <f>IF(S472=0,"",P472/S472)</f>
        <v/>
      </c>
      <c r="V472" s="3">
        <f>IF(S472=0,"",Q472/S472)</f>
        <v/>
      </c>
      <c r="W472" s="3">
        <f>IF(S472=0,"",R472/S472)</f>
        <v/>
      </c>
      <c r="X472" s="4">
        <f>IF(S472=0,"",T472*Pesos!$B$2+U472*Pesos!$B$3+V472*Pesos!$B$4+W472*Pesos!$B$5)</f>
        <v/>
      </c>
    </row>
    <row r="473">
      <c r="A473" s="2" t="n">
        <v>472</v>
      </c>
      <c r="B473" t="n">
        <v>10</v>
      </c>
      <c r="C473" t="n">
        <v>405</v>
      </c>
      <c r="D473" t="n">
        <v>450</v>
      </c>
      <c r="E473" t="n">
        <v>430</v>
      </c>
      <c r="F473" t="n">
        <v>425</v>
      </c>
      <c r="G473" t="n">
        <v>400</v>
      </c>
      <c r="H473" t="n">
        <v>210</v>
      </c>
      <c r="I473" t="n">
        <v>1325</v>
      </c>
      <c r="J473" t="n">
        <v>1865</v>
      </c>
      <c r="K473" t="n">
        <v>2345</v>
      </c>
      <c r="L473" t="n">
        <v>1780</v>
      </c>
      <c r="M473" t="n">
        <v>1035</v>
      </c>
      <c r="N473" s="6" t="n">
        <v>10670</v>
      </c>
      <c r="O473">
        <f>SUM(C473:H473)</f>
        <v/>
      </c>
      <c r="P473">
        <f>I473</f>
        <v/>
      </c>
      <c r="Q473">
        <f>J473</f>
        <v/>
      </c>
      <c r="R473">
        <f>SUM(K473:M473)</f>
        <v/>
      </c>
      <c r="S473">
        <f>SUM(O473:R473)</f>
        <v/>
      </c>
      <c r="T473" s="3">
        <f>IF(S473=0,"",O473/S473)</f>
        <v/>
      </c>
      <c r="U473" s="3">
        <f>IF(S473=0,"",P473/S473)</f>
        <v/>
      </c>
      <c r="V473" s="3">
        <f>IF(S473=0,"",Q473/S473)</f>
        <v/>
      </c>
      <c r="W473" s="3">
        <f>IF(S473=0,"",R473/S473)</f>
        <v/>
      </c>
      <c r="X473" s="4">
        <f>IF(S473=0,"",T473*Pesos!$B$2+U473*Pesos!$B$3+V473*Pesos!$B$4+W473*Pesos!$B$5)</f>
        <v/>
      </c>
    </row>
    <row r="474">
      <c r="A474" s="2" t="n">
        <v>473</v>
      </c>
      <c r="B474" t="n">
        <v>10</v>
      </c>
      <c r="C474" t="n">
        <v>540</v>
      </c>
      <c r="D474" t="n">
        <v>690</v>
      </c>
      <c r="E474" t="n">
        <v>570</v>
      </c>
      <c r="F474" t="n">
        <v>810</v>
      </c>
      <c r="G474" t="n">
        <v>380</v>
      </c>
      <c r="H474" t="n">
        <v>680</v>
      </c>
      <c r="I474" t="n">
        <v>2755</v>
      </c>
      <c r="J474" t="n">
        <v>3260</v>
      </c>
      <c r="K474" t="n">
        <v>1505</v>
      </c>
      <c r="L474" t="n">
        <v>2355</v>
      </c>
      <c r="M474" t="n">
        <v>845</v>
      </c>
      <c r="N474" s="6" t="n">
        <v>14390</v>
      </c>
      <c r="O474">
        <f>SUM(C474:H474)</f>
        <v/>
      </c>
      <c r="P474">
        <f>I474</f>
        <v/>
      </c>
      <c r="Q474">
        <f>J474</f>
        <v/>
      </c>
      <c r="R474">
        <f>SUM(K474:M474)</f>
        <v/>
      </c>
      <c r="S474">
        <f>SUM(O474:R474)</f>
        <v/>
      </c>
      <c r="T474" s="3">
        <f>IF(S474=0,"",O474/S474)</f>
        <v/>
      </c>
      <c r="U474" s="3">
        <f>IF(S474=0,"",P474/S474)</f>
        <v/>
      </c>
      <c r="V474" s="3">
        <f>IF(S474=0,"",Q474/S474)</f>
        <v/>
      </c>
      <c r="W474" s="3">
        <f>IF(S474=0,"",R474/S474)</f>
        <v/>
      </c>
      <c r="X474" s="4">
        <f>IF(S474=0,"",T474*Pesos!$B$2+U474*Pesos!$B$3+V474*Pesos!$B$4+W474*Pesos!$B$5)</f>
        <v/>
      </c>
    </row>
    <row r="475">
      <c r="A475" s="2" t="n">
        <v>474</v>
      </c>
      <c r="B475" t="n">
        <v>7</v>
      </c>
      <c r="C475" t="n">
        <v>380</v>
      </c>
      <c r="D475" t="n">
        <v>1085</v>
      </c>
      <c r="E475" t="n">
        <v>890</v>
      </c>
      <c r="F475" t="n">
        <v>945</v>
      </c>
      <c r="G475" t="n">
        <v>1040</v>
      </c>
      <c r="H475" t="n">
        <v>785</v>
      </c>
      <c r="I475" t="n">
        <v>4015</v>
      </c>
      <c r="J475" t="n">
        <v>1615</v>
      </c>
      <c r="K475" t="n">
        <v>765</v>
      </c>
      <c r="L475" t="n">
        <v>980</v>
      </c>
      <c r="M475" t="n">
        <v>880</v>
      </c>
      <c r="N475" s="6" t="n">
        <v>13375</v>
      </c>
      <c r="O475">
        <f>SUM(C475:H475)</f>
        <v/>
      </c>
      <c r="P475">
        <f>I475</f>
        <v/>
      </c>
      <c r="Q475">
        <f>J475</f>
        <v/>
      </c>
      <c r="R475">
        <f>SUM(K475:M475)</f>
        <v/>
      </c>
      <c r="S475">
        <f>SUM(O475:R475)</f>
        <v/>
      </c>
      <c r="T475" s="3">
        <f>IF(S475=0,"",O475/S475)</f>
        <v/>
      </c>
      <c r="U475" s="3">
        <f>IF(S475=0,"",P475/S475)</f>
        <v/>
      </c>
      <c r="V475" s="3">
        <f>IF(S475=0,"",Q475/S475)</f>
        <v/>
      </c>
      <c r="W475" s="3">
        <f>IF(S475=0,"",R475/S475)</f>
        <v/>
      </c>
      <c r="X475" s="4">
        <f>IF(S475=0,"",T475*Pesos!$B$2+U475*Pesos!$B$3+V475*Pesos!$B$4+W475*Pesos!$B$5)</f>
        <v/>
      </c>
    </row>
    <row r="476">
      <c r="A476" s="2" t="n">
        <v>475</v>
      </c>
      <c r="B476" t="n">
        <v>9</v>
      </c>
      <c r="C476" t="n">
        <v>765</v>
      </c>
      <c r="D476" t="n">
        <v>940</v>
      </c>
      <c r="E476" t="n">
        <v>410</v>
      </c>
      <c r="F476" t="n">
        <v>365</v>
      </c>
      <c r="G476" t="n">
        <v>410</v>
      </c>
      <c r="H476" t="n">
        <v>365</v>
      </c>
      <c r="I476" t="n">
        <v>1780</v>
      </c>
      <c r="J476" t="n">
        <v>2280</v>
      </c>
      <c r="K476" t="n">
        <v>1935</v>
      </c>
      <c r="L476" t="n">
        <v>1440</v>
      </c>
      <c r="M476" t="n">
        <v>1450</v>
      </c>
      <c r="N476" s="6" t="n">
        <v>12145</v>
      </c>
      <c r="O476">
        <f>SUM(C476:H476)</f>
        <v/>
      </c>
      <c r="P476">
        <f>I476</f>
        <v/>
      </c>
      <c r="Q476">
        <f>J476</f>
        <v/>
      </c>
      <c r="R476">
        <f>SUM(K476:M476)</f>
        <v/>
      </c>
      <c r="S476">
        <f>SUM(O476:R476)</f>
        <v/>
      </c>
      <c r="T476" s="3">
        <f>IF(S476=0,"",O476/S476)</f>
        <v/>
      </c>
      <c r="U476" s="3">
        <f>IF(S476=0,"",P476/S476)</f>
        <v/>
      </c>
      <c r="V476" s="3">
        <f>IF(S476=0,"",Q476/S476)</f>
        <v/>
      </c>
      <c r="W476" s="3">
        <f>IF(S476=0,"",R476/S476)</f>
        <v/>
      </c>
      <c r="X476" s="4">
        <f>IF(S476=0,"",T476*Pesos!$B$2+U476*Pesos!$B$3+V476*Pesos!$B$4+W476*Pesos!$B$5)</f>
        <v/>
      </c>
    </row>
    <row r="477">
      <c r="A477" s="2" t="n">
        <v>476</v>
      </c>
      <c r="B477" t="n">
        <v>9</v>
      </c>
      <c r="C477" t="n">
        <v>555</v>
      </c>
      <c r="D477" t="n">
        <v>695</v>
      </c>
      <c r="E477" t="n">
        <v>205</v>
      </c>
      <c r="F477" t="n">
        <v>300</v>
      </c>
      <c r="G477" t="n">
        <v>290</v>
      </c>
      <c r="H477" t="n">
        <v>455</v>
      </c>
      <c r="I477" t="n">
        <v>1025</v>
      </c>
      <c r="J477" t="n">
        <v>2715</v>
      </c>
      <c r="K477" t="n">
        <v>2165</v>
      </c>
      <c r="L477" t="n">
        <v>1995</v>
      </c>
      <c r="M477" t="n">
        <v>855</v>
      </c>
      <c r="N477" s="6" t="n">
        <v>11255</v>
      </c>
      <c r="O477">
        <f>SUM(C477:H477)</f>
        <v/>
      </c>
      <c r="P477">
        <f>I477</f>
        <v/>
      </c>
      <c r="Q477">
        <f>J477</f>
        <v/>
      </c>
      <c r="R477">
        <f>SUM(K477:M477)</f>
        <v/>
      </c>
      <c r="S477">
        <f>SUM(O477:R477)</f>
        <v/>
      </c>
      <c r="T477" s="3">
        <f>IF(S477=0,"",O477/S477)</f>
        <v/>
      </c>
      <c r="U477" s="3">
        <f>IF(S477=0,"",P477/S477)</f>
        <v/>
      </c>
      <c r="V477" s="3">
        <f>IF(S477=0,"",Q477/S477)</f>
        <v/>
      </c>
      <c r="W477" s="3">
        <f>IF(S477=0,"",R477/S477)</f>
        <v/>
      </c>
      <c r="X477" s="4">
        <f>IF(S477=0,"",T477*Pesos!$B$2+U477*Pesos!$B$3+V477*Pesos!$B$4+W477*Pesos!$B$5)</f>
        <v/>
      </c>
    </row>
    <row r="478">
      <c r="A478" s="2" t="n">
        <v>477</v>
      </c>
      <c r="B478" t="n">
        <v>8</v>
      </c>
      <c r="C478" t="n">
        <v>1880</v>
      </c>
      <c r="D478" t="n">
        <v>695</v>
      </c>
      <c r="E478" t="n">
        <v>925</v>
      </c>
      <c r="F478" t="n">
        <v>775</v>
      </c>
      <c r="G478" t="n">
        <v>445</v>
      </c>
      <c r="H478" t="n">
        <v>815</v>
      </c>
      <c r="I478" t="n">
        <v>2535</v>
      </c>
      <c r="J478" t="n">
        <v>1900</v>
      </c>
      <c r="K478" t="n">
        <v>1195</v>
      </c>
      <c r="L478" t="n">
        <v>1405</v>
      </c>
      <c r="M478" t="n">
        <v>1915</v>
      </c>
      <c r="N478" s="6" t="n">
        <v>14485</v>
      </c>
      <c r="O478">
        <f>SUM(C478:H478)</f>
        <v/>
      </c>
      <c r="P478">
        <f>I478</f>
        <v/>
      </c>
      <c r="Q478">
        <f>J478</f>
        <v/>
      </c>
      <c r="R478">
        <f>SUM(K478:M478)</f>
        <v/>
      </c>
      <c r="S478">
        <f>SUM(O478:R478)</f>
        <v/>
      </c>
      <c r="T478" s="3">
        <f>IF(S478=0,"",O478/S478)</f>
        <v/>
      </c>
      <c r="U478" s="3">
        <f>IF(S478=0,"",P478/S478)</f>
        <v/>
      </c>
      <c r="V478" s="3">
        <f>IF(S478=0,"",Q478/S478)</f>
        <v/>
      </c>
      <c r="W478" s="3">
        <f>IF(S478=0,"",R478/S478)</f>
        <v/>
      </c>
      <c r="X478" s="4">
        <f>IF(S478=0,"",T478*Pesos!$B$2+U478*Pesos!$B$3+V478*Pesos!$B$4+W478*Pesos!$B$5)</f>
        <v/>
      </c>
    </row>
    <row r="479">
      <c r="A479" s="2" t="n">
        <v>478</v>
      </c>
      <c r="B479" t="n">
        <v>7</v>
      </c>
      <c r="C479" t="n">
        <v>490</v>
      </c>
      <c r="D479" t="n">
        <v>615</v>
      </c>
      <c r="E479" t="n">
        <v>460</v>
      </c>
      <c r="F479" t="n">
        <v>245</v>
      </c>
      <c r="G479" t="n">
        <v>310</v>
      </c>
      <c r="H479" t="n">
        <v>340</v>
      </c>
      <c r="I479" t="n">
        <v>1460</v>
      </c>
      <c r="J479" t="n">
        <v>1185</v>
      </c>
      <c r="K479" t="n">
        <v>1000</v>
      </c>
      <c r="L479" t="n">
        <v>2385</v>
      </c>
      <c r="M479" t="n">
        <v>930</v>
      </c>
      <c r="N479" s="6" t="n">
        <v>9415</v>
      </c>
      <c r="O479">
        <f>SUM(C479:H479)</f>
        <v/>
      </c>
      <c r="P479">
        <f>I479</f>
        <v/>
      </c>
      <c r="Q479">
        <f>J479</f>
        <v/>
      </c>
      <c r="R479">
        <f>SUM(K479:M479)</f>
        <v/>
      </c>
      <c r="S479">
        <f>SUM(O479:R479)</f>
        <v/>
      </c>
      <c r="T479" s="3">
        <f>IF(S479=0,"",O479/S479)</f>
        <v/>
      </c>
      <c r="U479" s="3">
        <f>IF(S479=0,"",P479/S479)</f>
        <v/>
      </c>
      <c r="V479" s="3">
        <f>IF(S479=0,"",Q479/S479)</f>
        <v/>
      </c>
      <c r="W479" s="3">
        <f>IF(S479=0,"",R479/S479)</f>
        <v/>
      </c>
      <c r="X479" s="4">
        <f>IF(S479=0,"",T479*Pesos!$B$2+U479*Pesos!$B$3+V479*Pesos!$B$4+W479*Pesos!$B$5)</f>
        <v/>
      </c>
    </row>
    <row r="480">
      <c r="A480" s="2" t="n">
        <v>481</v>
      </c>
      <c r="B480" t="n">
        <v>10</v>
      </c>
      <c r="C480" t="n">
        <v>275</v>
      </c>
      <c r="D480" t="n">
        <v>560</v>
      </c>
      <c r="E480" t="n">
        <v>755</v>
      </c>
      <c r="F480" t="n">
        <v>585</v>
      </c>
      <c r="G480" t="n">
        <v>515</v>
      </c>
      <c r="H480" t="n">
        <v>560</v>
      </c>
      <c r="I480" t="n">
        <v>2495</v>
      </c>
      <c r="J480" t="n">
        <v>4025</v>
      </c>
      <c r="K480" t="n">
        <v>2325</v>
      </c>
      <c r="L480" t="n">
        <v>1010</v>
      </c>
      <c r="M480" s="7" t="n">
        <v>45</v>
      </c>
      <c r="N480" s="6" t="n">
        <v>13150</v>
      </c>
      <c r="O480">
        <f>SUM(C480:H480)</f>
        <v/>
      </c>
      <c r="P480">
        <f>I480</f>
        <v/>
      </c>
      <c r="Q480">
        <f>J480</f>
        <v/>
      </c>
      <c r="R480">
        <f>SUM(K480:M480)</f>
        <v/>
      </c>
      <c r="S480">
        <f>SUM(O480:R480)</f>
        <v/>
      </c>
      <c r="T480" s="3">
        <f>IF(S480=0,"",O480/S480)</f>
        <v/>
      </c>
      <c r="U480" s="3">
        <f>IF(S480=0,"",P480/S480)</f>
        <v/>
      </c>
      <c r="V480" s="3">
        <f>IF(S480=0,"",Q480/S480)</f>
        <v/>
      </c>
      <c r="W480" s="3">
        <f>IF(S480=0,"",R480/S480)</f>
        <v/>
      </c>
      <c r="X480" s="4">
        <f>IF(S480=0,"",T480*Pesos!$B$2+U480*Pesos!$B$3+V480*Pesos!$B$4+W480*Pesos!$B$5)</f>
        <v/>
      </c>
    </row>
    <row r="481">
      <c r="A481" s="2" t="n">
        <v>482</v>
      </c>
      <c r="B481" t="n">
        <v>8</v>
      </c>
      <c r="C481" t="n">
        <v>340</v>
      </c>
      <c r="D481" t="n">
        <v>595</v>
      </c>
      <c r="E481" t="n">
        <v>310</v>
      </c>
      <c r="F481" t="n">
        <v>260</v>
      </c>
      <c r="G481" t="n">
        <v>320</v>
      </c>
      <c r="H481" t="n">
        <v>425</v>
      </c>
      <c r="I481" t="n">
        <v>1980</v>
      </c>
      <c r="J481" t="n">
        <v>1695</v>
      </c>
      <c r="K481" t="n">
        <v>2470</v>
      </c>
      <c r="L481" t="n">
        <v>2005</v>
      </c>
      <c r="M481" t="n">
        <v>100</v>
      </c>
      <c r="N481" s="6" t="n">
        <v>10505</v>
      </c>
      <c r="O481">
        <f>SUM(C481:H481)</f>
        <v/>
      </c>
      <c r="P481">
        <f>I481</f>
        <v/>
      </c>
      <c r="Q481">
        <f>J481</f>
        <v/>
      </c>
      <c r="R481">
        <f>SUM(K481:M481)</f>
        <v/>
      </c>
      <c r="S481">
        <f>SUM(O481:R481)</f>
        <v/>
      </c>
      <c r="T481" s="3">
        <f>IF(S481=0,"",O481/S481)</f>
        <v/>
      </c>
      <c r="U481" s="3">
        <f>IF(S481=0,"",P481/S481)</f>
        <v/>
      </c>
      <c r="V481" s="3">
        <f>IF(S481=0,"",Q481/S481)</f>
        <v/>
      </c>
      <c r="W481" s="3">
        <f>IF(S481=0,"",R481/S481)</f>
        <v/>
      </c>
      <c r="X481" s="4">
        <f>IF(S481=0,"",T481*Pesos!$B$2+U481*Pesos!$B$3+V481*Pesos!$B$4+W481*Pesos!$B$5)</f>
        <v/>
      </c>
    </row>
    <row r="482">
      <c r="A482" s="2" t="n">
        <v>483</v>
      </c>
      <c r="B482" t="n">
        <v>8</v>
      </c>
      <c r="C482" t="n">
        <v>910</v>
      </c>
      <c r="D482" t="n">
        <v>1245</v>
      </c>
      <c r="E482" t="n">
        <v>850</v>
      </c>
      <c r="F482" t="n">
        <v>690</v>
      </c>
      <c r="G482" t="n">
        <v>630</v>
      </c>
      <c r="H482" t="n">
        <v>850</v>
      </c>
      <c r="I482" t="n">
        <v>2210</v>
      </c>
      <c r="J482" t="n">
        <v>2225</v>
      </c>
      <c r="K482" t="n">
        <v>1430</v>
      </c>
      <c r="L482" t="n">
        <v>1365</v>
      </c>
      <c r="M482" t="n">
        <v>790</v>
      </c>
      <c r="N482" s="6" t="n">
        <v>13195</v>
      </c>
      <c r="O482">
        <f>SUM(C482:H482)</f>
        <v/>
      </c>
      <c r="P482">
        <f>I482</f>
        <v/>
      </c>
      <c r="Q482">
        <f>J482</f>
        <v/>
      </c>
      <c r="R482">
        <f>SUM(K482:M482)</f>
        <v/>
      </c>
      <c r="S482">
        <f>SUM(O482:R482)</f>
        <v/>
      </c>
      <c r="T482" s="3">
        <f>IF(S482=0,"",O482/S482)</f>
        <v/>
      </c>
      <c r="U482" s="3">
        <f>IF(S482=0,"",P482/S482)</f>
        <v/>
      </c>
      <c r="V482" s="3">
        <f>IF(S482=0,"",Q482/S482)</f>
        <v/>
      </c>
      <c r="W482" s="3">
        <f>IF(S482=0,"",R482/S482)</f>
        <v/>
      </c>
      <c r="X482" s="4">
        <f>IF(S482=0,"",T482*Pesos!$B$2+U482*Pesos!$B$3+V482*Pesos!$B$4+W482*Pesos!$B$5)</f>
        <v/>
      </c>
    </row>
    <row r="483">
      <c r="A483" s="2" t="n">
        <v>484</v>
      </c>
      <c r="B483" t="n">
        <v>7</v>
      </c>
      <c r="C483" t="n">
        <v>510</v>
      </c>
      <c r="D483" t="n">
        <v>1015</v>
      </c>
      <c r="E483" t="n">
        <v>1230</v>
      </c>
      <c r="F483" t="n">
        <v>515</v>
      </c>
      <c r="G483" t="n">
        <v>565</v>
      </c>
      <c r="H483" t="n">
        <v>580</v>
      </c>
      <c r="I483" t="n">
        <v>3195</v>
      </c>
      <c r="J483" t="n">
        <v>2870</v>
      </c>
      <c r="K483" t="n">
        <v>1415</v>
      </c>
      <c r="L483" t="n">
        <v>1325</v>
      </c>
      <c r="M483" t="n">
        <v>625</v>
      </c>
      <c r="N483" s="6" t="n">
        <v>13845</v>
      </c>
      <c r="O483">
        <f>SUM(C483:H483)</f>
        <v/>
      </c>
      <c r="P483">
        <f>I483</f>
        <v/>
      </c>
      <c r="Q483">
        <f>J483</f>
        <v/>
      </c>
      <c r="R483">
        <f>SUM(K483:M483)</f>
        <v/>
      </c>
      <c r="S483">
        <f>SUM(O483:R483)</f>
        <v/>
      </c>
      <c r="T483" s="3">
        <f>IF(S483=0,"",O483/S483)</f>
        <v/>
      </c>
      <c r="U483" s="3">
        <f>IF(S483=0,"",P483/S483)</f>
        <v/>
      </c>
      <c r="V483" s="3">
        <f>IF(S483=0,"",Q483/S483)</f>
        <v/>
      </c>
      <c r="W483" s="3">
        <f>IF(S483=0,"",R483/S483)</f>
        <v/>
      </c>
      <c r="X483" s="4">
        <f>IF(S483=0,"",T483*Pesos!$B$2+U483*Pesos!$B$3+V483*Pesos!$B$4+W483*Pesos!$B$5)</f>
        <v/>
      </c>
    </row>
    <row r="484">
      <c r="A484" s="2" t="n">
        <v>485</v>
      </c>
      <c r="B484" t="n">
        <v>8</v>
      </c>
      <c r="C484" t="n">
        <v>560</v>
      </c>
      <c r="D484" t="n">
        <v>750</v>
      </c>
      <c r="E484" t="n">
        <v>650</v>
      </c>
      <c r="F484" t="n">
        <v>520</v>
      </c>
      <c r="G484" t="n">
        <v>530</v>
      </c>
      <c r="H484" t="n">
        <v>605</v>
      </c>
      <c r="I484" t="n">
        <v>1455</v>
      </c>
      <c r="J484" t="n">
        <v>2035</v>
      </c>
      <c r="K484" t="n">
        <v>1835</v>
      </c>
      <c r="L484" t="n">
        <v>805</v>
      </c>
      <c r="M484" t="n">
        <v>1410</v>
      </c>
      <c r="N484" s="6" t="n">
        <v>11165</v>
      </c>
      <c r="O484">
        <f>SUM(C484:H484)</f>
        <v/>
      </c>
      <c r="P484">
        <f>I484</f>
        <v/>
      </c>
      <c r="Q484">
        <f>J484</f>
        <v/>
      </c>
      <c r="R484">
        <f>SUM(K484:M484)</f>
        <v/>
      </c>
      <c r="S484">
        <f>SUM(O484:R484)</f>
        <v/>
      </c>
      <c r="T484" s="3">
        <f>IF(S484=0,"",O484/S484)</f>
        <v/>
      </c>
      <c r="U484" s="3">
        <f>IF(S484=0,"",P484/S484)</f>
        <v/>
      </c>
      <c r="V484" s="3">
        <f>IF(S484=0,"",Q484/S484)</f>
        <v/>
      </c>
      <c r="W484" s="3">
        <f>IF(S484=0,"",R484/S484)</f>
        <v/>
      </c>
      <c r="X484" s="4">
        <f>IF(S484=0,"",T484*Pesos!$B$2+U484*Pesos!$B$3+V484*Pesos!$B$4+W484*Pesos!$B$5)</f>
        <v/>
      </c>
    </row>
    <row r="485">
      <c r="A485" s="2" t="n">
        <v>486</v>
      </c>
      <c r="B485" t="n">
        <v>8</v>
      </c>
      <c r="C485" t="n">
        <v>510</v>
      </c>
      <c r="D485" t="n">
        <v>655</v>
      </c>
      <c r="E485" t="n">
        <v>710</v>
      </c>
      <c r="F485" t="n">
        <v>590</v>
      </c>
      <c r="G485" t="n">
        <v>275</v>
      </c>
      <c r="H485" t="n">
        <v>550</v>
      </c>
      <c r="I485" t="n">
        <v>2690</v>
      </c>
      <c r="J485" t="n">
        <v>2340</v>
      </c>
      <c r="K485" t="n">
        <v>1505</v>
      </c>
      <c r="L485" t="n">
        <v>1465</v>
      </c>
      <c r="M485" t="n">
        <v>1650</v>
      </c>
      <c r="N485" s="6" t="n">
        <v>12935</v>
      </c>
      <c r="O485">
        <f>SUM(C485:H485)</f>
        <v/>
      </c>
      <c r="P485">
        <f>I485</f>
        <v/>
      </c>
      <c r="Q485">
        <f>J485</f>
        <v/>
      </c>
      <c r="R485">
        <f>SUM(K485:M485)</f>
        <v/>
      </c>
      <c r="S485">
        <f>SUM(O485:R485)</f>
        <v/>
      </c>
      <c r="T485" s="3">
        <f>IF(S485=0,"",O485/S485)</f>
        <v/>
      </c>
      <c r="U485" s="3">
        <f>IF(S485=0,"",P485/S485)</f>
        <v/>
      </c>
      <c r="V485" s="3">
        <f>IF(S485=0,"",Q485/S485)</f>
        <v/>
      </c>
      <c r="W485" s="3">
        <f>IF(S485=0,"",R485/S485)</f>
        <v/>
      </c>
      <c r="X485" s="4">
        <f>IF(S485=0,"",T485*Pesos!$B$2+U485*Pesos!$B$3+V485*Pesos!$B$4+W485*Pesos!$B$5)</f>
        <v/>
      </c>
    </row>
    <row r="486">
      <c r="A486" s="2" t="n">
        <v>487</v>
      </c>
      <c r="B486" t="n">
        <v>13</v>
      </c>
      <c r="C486" t="n">
        <v>1545</v>
      </c>
      <c r="D486" t="n">
        <v>2180</v>
      </c>
      <c r="E486" t="n">
        <v>1835</v>
      </c>
      <c r="F486" t="n">
        <v>1390</v>
      </c>
      <c r="G486" t="n">
        <v>1110</v>
      </c>
      <c r="H486" t="n">
        <v>630</v>
      </c>
      <c r="I486" t="n">
        <v>3360</v>
      </c>
      <c r="J486" t="n">
        <v>3210</v>
      </c>
      <c r="K486" t="n">
        <v>1875</v>
      </c>
      <c r="L486" t="n">
        <v>2295</v>
      </c>
      <c r="M486" t="n">
        <v>1635</v>
      </c>
      <c r="N486" s="6" t="n">
        <v>21070</v>
      </c>
      <c r="O486">
        <f>SUM(C486:H486)</f>
        <v/>
      </c>
      <c r="P486">
        <f>I486</f>
        <v/>
      </c>
      <c r="Q486">
        <f>J486</f>
        <v/>
      </c>
      <c r="R486">
        <f>SUM(K486:M486)</f>
        <v/>
      </c>
      <c r="S486">
        <f>SUM(O486:R486)</f>
        <v/>
      </c>
      <c r="T486" s="3">
        <f>IF(S486=0,"",O486/S486)</f>
        <v/>
      </c>
      <c r="U486" s="3">
        <f>IF(S486=0,"",P486/S486)</f>
        <v/>
      </c>
      <c r="V486" s="3">
        <f>IF(S486=0,"",Q486/S486)</f>
        <v/>
      </c>
      <c r="W486" s="3">
        <f>IF(S486=0,"",R486/S486)</f>
        <v/>
      </c>
      <c r="X486" s="4">
        <f>IF(S486=0,"",T486*Pesos!$B$2+U486*Pesos!$B$3+V486*Pesos!$B$4+W486*Pesos!$B$5)</f>
        <v/>
      </c>
    </row>
    <row r="487">
      <c r="A487" s="2" t="n">
        <v>488</v>
      </c>
      <c r="B487" t="n">
        <v>8</v>
      </c>
      <c r="C487" t="n">
        <v>595</v>
      </c>
      <c r="D487" t="n">
        <v>1235</v>
      </c>
      <c r="E487" t="n">
        <v>620</v>
      </c>
      <c r="F487" t="n">
        <v>815</v>
      </c>
      <c r="G487" t="n">
        <v>670</v>
      </c>
      <c r="H487" t="n">
        <v>645</v>
      </c>
      <c r="I487" t="n">
        <v>1555</v>
      </c>
      <c r="J487" t="n">
        <v>1905</v>
      </c>
      <c r="K487" t="n">
        <v>1560</v>
      </c>
      <c r="L487" t="n">
        <v>655</v>
      </c>
      <c r="M487" t="n">
        <v>1540</v>
      </c>
      <c r="N487" s="6" t="n">
        <v>11800</v>
      </c>
      <c r="O487">
        <f>SUM(C487:H487)</f>
        <v/>
      </c>
      <c r="P487">
        <f>I487</f>
        <v/>
      </c>
      <c r="Q487">
        <f>J487</f>
        <v/>
      </c>
      <c r="R487">
        <f>SUM(K487:M487)</f>
        <v/>
      </c>
      <c r="S487">
        <f>SUM(O487:R487)</f>
        <v/>
      </c>
      <c r="T487" s="3">
        <f>IF(S487=0,"",O487/S487)</f>
        <v/>
      </c>
      <c r="U487" s="3">
        <f>IF(S487=0,"",P487/S487)</f>
        <v/>
      </c>
      <c r="V487" s="3">
        <f>IF(S487=0,"",Q487/S487)</f>
        <v/>
      </c>
      <c r="W487" s="3">
        <f>IF(S487=0,"",R487/S487)</f>
        <v/>
      </c>
      <c r="X487" s="4">
        <f>IF(S487=0,"",T487*Pesos!$B$2+U487*Pesos!$B$3+V487*Pesos!$B$4+W487*Pesos!$B$5)</f>
        <v/>
      </c>
    </row>
    <row r="488">
      <c r="A488" s="2" t="n">
        <v>489</v>
      </c>
      <c r="B488" t="n">
        <v>7</v>
      </c>
      <c r="C488" t="n">
        <v>135</v>
      </c>
      <c r="D488" t="n">
        <v>500</v>
      </c>
      <c r="E488" t="n">
        <v>260</v>
      </c>
      <c r="F488" t="n">
        <v>140</v>
      </c>
      <c r="G488" t="n">
        <v>170</v>
      </c>
      <c r="H488" t="n">
        <v>220</v>
      </c>
      <c r="I488" t="n">
        <v>915</v>
      </c>
      <c r="J488" t="n">
        <v>915</v>
      </c>
      <c r="K488" t="n">
        <v>1285</v>
      </c>
      <c r="L488" t="n">
        <v>455</v>
      </c>
      <c r="M488" t="n">
        <v>1040</v>
      </c>
      <c r="N488" s="6" t="n">
        <v>6030</v>
      </c>
      <c r="O488">
        <f>SUM(C488:H488)</f>
        <v/>
      </c>
      <c r="P488">
        <f>I488</f>
        <v/>
      </c>
      <c r="Q488">
        <f>J488</f>
        <v/>
      </c>
      <c r="R488">
        <f>SUM(K488:M488)</f>
        <v/>
      </c>
      <c r="S488">
        <f>SUM(O488:R488)</f>
        <v/>
      </c>
      <c r="T488" s="3">
        <f>IF(S488=0,"",O488/S488)</f>
        <v/>
      </c>
      <c r="U488" s="3">
        <f>IF(S488=0,"",P488/S488)</f>
        <v/>
      </c>
      <c r="V488" s="3">
        <f>IF(S488=0,"",Q488/S488)</f>
        <v/>
      </c>
      <c r="W488" s="3">
        <f>IF(S488=0,"",R488/S488)</f>
        <v/>
      </c>
      <c r="X488" s="4">
        <f>IF(S488=0,"",T488*Pesos!$B$2+U488*Pesos!$B$3+V488*Pesos!$B$4+W488*Pesos!$B$5)</f>
        <v/>
      </c>
    </row>
    <row r="489">
      <c r="A489" s="2" t="n">
        <v>490</v>
      </c>
      <c r="B489" t="n">
        <v>7</v>
      </c>
      <c r="C489" t="n">
        <v>470</v>
      </c>
      <c r="D489" t="n">
        <v>525</v>
      </c>
      <c r="E489" t="n">
        <v>340</v>
      </c>
      <c r="F489" t="n">
        <v>500</v>
      </c>
      <c r="G489" t="n">
        <v>385</v>
      </c>
      <c r="H489" t="n">
        <v>525</v>
      </c>
      <c r="I489" t="n">
        <v>1290</v>
      </c>
      <c r="J489" t="n">
        <v>1025</v>
      </c>
      <c r="K489" t="n">
        <v>890</v>
      </c>
      <c r="L489" t="n">
        <v>790</v>
      </c>
      <c r="M489" t="n">
        <v>585</v>
      </c>
      <c r="N489" s="6" t="n">
        <v>7320</v>
      </c>
      <c r="O489">
        <f>SUM(C489:H489)</f>
        <v/>
      </c>
      <c r="P489">
        <f>I489</f>
        <v/>
      </c>
      <c r="Q489">
        <f>J489</f>
        <v/>
      </c>
      <c r="R489">
        <f>SUM(K489:M489)</f>
        <v/>
      </c>
      <c r="S489">
        <f>SUM(O489:R489)</f>
        <v/>
      </c>
      <c r="T489" s="3">
        <f>IF(S489=0,"",O489/S489)</f>
        <v/>
      </c>
      <c r="U489" s="3">
        <f>IF(S489=0,"",P489/S489)</f>
        <v/>
      </c>
      <c r="V489" s="3">
        <f>IF(S489=0,"",Q489/S489)</f>
        <v/>
      </c>
      <c r="W489" s="3">
        <f>IF(S489=0,"",R489/S489)</f>
        <v/>
      </c>
      <c r="X489" s="4">
        <f>IF(S489=0,"",T489*Pesos!$B$2+U489*Pesos!$B$3+V489*Pesos!$B$4+W489*Pesos!$B$5)</f>
        <v/>
      </c>
    </row>
    <row r="490">
      <c r="A490" s="2" t="n">
        <v>500</v>
      </c>
      <c r="B490" t="n">
        <v>9</v>
      </c>
      <c r="C490" t="n">
        <v>2950</v>
      </c>
      <c r="D490" t="n">
        <v>2540</v>
      </c>
      <c r="E490" t="n">
        <v>1680</v>
      </c>
      <c r="F490" t="n">
        <v>1135</v>
      </c>
      <c r="G490" t="n">
        <v>830</v>
      </c>
      <c r="H490" t="n">
        <v>1805</v>
      </c>
      <c r="I490" t="n">
        <v>4395</v>
      </c>
      <c r="J490" t="n">
        <v>2960</v>
      </c>
      <c r="K490" t="n">
        <v>1840</v>
      </c>
      <c r="L490" t="n">
        <v>620</v>
      </c>
      <c r="M490" t="n">
        <v>260</v>
      </c>
      <c r="N490" s="6" t="n">
        <v>21015</v>
      </c>
      <c r="O490">
        <f>SUM(C490:H490)</f>
        <v/>
      </c>
      <c r="P490">
        <f>I490</f>
        <v/>
      </c>
      <c r="Q490">
        <f>J490</f>
        <v/>
      </c>
      <c r="R490">
        <f>SUM(K490:M490)</f>
        <v/>
      </c>
      <c r="S490">
        <f>SUM(O490:R490)</f>
        <v/>
      </c>
      <c r="T490" s="3">
        <f>IF(S490=0,"",O490/S490)</f>
        <v/>
      </c>
      <c r="U490" s="3">
        <f>IF(S490=0,"",P490/S490)</f>
        <v/>
      </c>
      <c r="V490" s="3">
        <f>IF(S490=0,"",Q490/S490)</f>
        <v/>
      </c>
      <c r="W490" s="3">
        <f>IF(S490=0,"",R490/S490)</f>
        <v/>
      </c>
      <c r="X490" s="4">
        <f>IF(S490=0,"",T490*Pesos!$B$2+U490*Pesos!$B$3+V490*Pesos!$B$4+W490*Pesos!$B$5)</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4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s>
  <sheetData>
    <row r="1">
      <c r="A1" s="1" t="inlineStr">
        <is>
          <t>VUPACI</t>
        </is>
      </c>
      <c r="B1" s="1" t="inlineStr">
        <is>
          <t>n secciones</t>
        </is>
      </c>
      <c r="C1" s="1" t="inlineStr">
        <is>
          <t>2001</t>
        </is>
      </c>
      <c r="D1" s="1" t="inlineStr">
        <is>
          <t>2000</t>
        </is>
      </c>
      <c r="E1" s="1" t="inlineStr">
        <is>
          <t>1999</t>
        </is>
      </c>
      <c r="F1" s="1" t="inlineStr">
        <is>
          <t>1998</t>
        </is>
      </c>
      <c r="G1" s="1" t="inlineStr">
        <is>
          <t>1997</t>
        </is>
      </c>
      <c r="H1" s="1" t="inlineStr">
        <is>
          <t>1996</t>
        </is>
      </c>
      <c r="I1" s="1" t="inlineStr">
        <is>
          <t>1991-1995</t>
        </is>
      </c>
      <c r="J1" s="1" t="inlineStr">
        <is>
          <t>1981-1990</t>
        </is>
      </c>
      <c r="K1" s="1" t="inlineStr">
        <is>
          <t>1971-1980</t>
        </is>
      </c>
      <c r="L1" s="1" t="inlineStr">
        <is>
          <t>1961-1970</t>
        </is>
      </c>
      <c r="M1" s="1" t="inlineStr">
        <is>
          <t>1941-1960</t>
        </is>
      </c>
      <c r="N1" s="1" t="inlineStr">
        <is>
          <t>Antes de 1941</t>
        </is>
      </c>
      <c r="O1" s="1" t="inlineStr">
        <is>
          <t>Total INE</t>
        </is>
      </c>
      <c r="P1" s="1" t="inlineStr">
        <is>
          <t>a</t>
        </is>
      </c>
      <c r="Q1" s="1" t="inlineStr">
        <is>
          <t>b</t>
        </is>
      </c>
      <c r="R1" s="1" t="inlineStr">
        <is>
          <t>c</t>
        </is>
      </c>
      <c r="S1" s="1" t="inlineStr">
        <is>
          <t>d</t>
        </is>
      </c>
      <c r="T1" s="1" t="inlineStr">
        <is>
          <t>suma tramos</t>
        </is>
      </c>
      <c r="U1" s="1" t="inlineStr">
        <is>
          <t>p_a</t>
        </is>
      </c>
      <c r="V1" s="1" t="inlineStr">
        <is>
          <t>p_b</t>
        </is>
      </c>
      <c r="W1" s="1" t="inlineStr">
        <is>
          <t>p_c</t>
        </is>
      </c>
      <c r="X1" s="1" t="inlineStr">
        <is>
          <t>p_d</t>
        </is>
      </c>
      <c r="Y1" s="1" t="inlineStr">
        <is>
          <t>índice</t>
        </is>
      </c>
    </row>
    <row r="2">
      <c r="A2" s="2" t="n">
        <v>0</v>
      </c>
      <c r="B2" t="n">
        <v>9</v>
      </c>
      <c r="C2" t="n">
        <v>63</v>
      </c>
      <c r="D2" t="n">
        <v>73</v>
      </c>
      <c r="E2" t="n">
        <v>78</v>
      </c>
      <c r="F2" t="n">
        <v>61</v>
      </c>
      <c r="G2" t="n">
        <v>18</v>
      </c>
      <c r="H2" t="n">
        <v>48</v>
      </c>
      <c r="I2" t="n">
        <v>147</v>
      </c>
      <c r="J2" t="n">
        <v>200</v>
      </c>
      <c r="K2" t="n">
        <v>160</v>
      </c>
      <c r="L2" t="n">
        <v>94</v>
      </c>
      <c r="M2" t="n">
        <v>69</v>
      </c>
      <c r="N2" t="n">
        <v>42</v>
      </c>
      <c r="O2" s="6" t="n">
        <v>1053</v>
      </c>
      <c r="P2">
        <f>SUM(C2:H2)</f>
        <v/>
      </c>
      <c r="Q2">
        <f>I2</f>
        <v/>
      </c>
      <c r="R2">
        <f>J2</f>
        <v/>
      </c>
      <c r="S2">
        <f>SUM(K2:N2)</f>
        <v/>
      </c>
      <c r="T2">
        <f>SUM(P2:S2)</f>
        <v/>
      </c>
      <c r="U2" s="3">
        <f>IF(T2=0,"",P2/T2)</f>
        <v/>
      </c>
      <c r="V2" s="3">
        <f>IF(T2=0,"",Q2/T2)</f>
        <v/>
      </c>
      <c r="W2" s="3">
        <f>IF(T2=0,"",R2/T2)</f>
        <v/>
      </c>
      <c r="X2" s="3">
        <f>IF(T2=0,"",S2/T2)</f>
        <v/>
      </c>
      <c r="Y2" s="4">
        <f>IF(T2=0,"",U2*Pesos!$B$2+V2*Pesos!$B$3+W2*Pesos!$B$4+X2*Pesos!$B$5)</f>
        <v/>
      </c>
    </row>
    <row r="3">
      <c r="A3" s="2" t="n">
        <v>1</v>
      </c>
      <c r="B3" t="n">
        <v>4</v>
      </c>
      <c r="C3" t="n">
        <v>672</v>
      </c>
      <c r="D3" t="n">
        <v>692</v>
      </c>
      <c r="E3" t="n">
        <v>868</v>
      </c>
      <c r="F3" t="n">
        <v>677</v>
      </c>
      <c r="G3" t="n">
        <v>421</v>
      </c>
      <c r="H3" t="n">
        <v>360</v>
      </c>
      <c r="I3" t="n">
        <v>1213</v>
      </c>
      <c r="J3" t="n">
        <v>2330</v>
      </c>
      <c r="K3" t="n">
        <v>914</v>
      </c>
      <c r="L3" t="n">
        <v>238</v>
      </c>
      <c r="M3" t="n">
        <v>146</v>
      </c>
      <c r="N3" t="n">
        <v>36</v>
      </c>
      <c r="O3" s="6" t="n">
        <v>8567</v>
      </c>
      <c r="P3">
        <f>SUM(C3:H3)</f>
        <v/>
      </c>
      <c r="Q3">
        <f>I3</f>
        <v/>
      </c>
      <c r="R3">
        <f>J3</f>
        <v/>
      </c>
      <c r="S3">
        <f>SUM(K3:N3)</f>
        <v/>
      </c>
      <c r="T3">
        <f>SUM(P3:S3)</f>
        <v/>
      </c>
      <c r="U3" s="3">
        <f>IF(T3=0,"",P3/T3)</f>
        <v/>
      </c>
      <c r="V3" s="3">
        <f>IF(T3=0,"",Q3/T3)</f>
        <v/>
      </c>
      <c r="W3" s="3">
        <f>IF(T3=0,"",R3/T3)</f>
        <v/>
      </c>
      <c r="X3" s="3">
        <f>IF(T3=0,"",S3/T3)</f>
        <v/>
      </c>
      <c r="Y3" s="4">
        <f>IF(T3=0,"",U3*Pesos!$B$2+V3*Pesos!$B$3+W3*Pesos!$B$4+X3*Pesos!$B$5)</f>
        <v/>
      </c>
    </row>
    <row r="4">
      <c r="A4" s="2" t="n">
        <v>2</v>
      </c>
      <c r="B4" t="n">
        <v>7</v>
      </c>
      <c r="C4" t="n">
        <v>1071</v>
      </c>
      <c r="D4" t="n">
        <v>1002</v>
      </c>
      <c r="E4" t="n">
        <v>1085</v>
      </c>
      <c r="F4" t="n">
        <v>986</v>
      </c>
      <c r="G4" t="n">
        <v>707</v>
      </c>
      <c r="H4" t="n">
        <v>644</v>
      </c>
      <c r="I4" t="n">
        <v>2211</v>
      </c>
      <c r="J4" t="n">
        <v>1604</v>
      </c>
      <c r="K4" t="n">
        <v>1029</v>
      </c>
      <c r="L4" t="n">
        <v>309</v>
      </c>
      <c r="M4" t="n">
        <v>130</v>
      </c>
      <c r="N4" t="n">
        <v>42</v>
      </c>
      <c r="O4" s="6" t="n">
        <v>10820</v>
      </c>
      <c r="P4">
        <f>SUM(C4:H4)</f>
        <v/>
      </c>
      <c r="Q4">
        <f>I4</f>
        <v/>
      </c>
      <c r="R4">
        <f>J4</f>
        <v/>
      </c>
      <c r="S4">
        <f>SUM(K4:N4)</f>
        <v/>
      </c>
      <c r="T4">
        <f>SUM(P4:S4)</f>
        <v/>
      </c>
      <c r="U4" s="3">
        <f>IF(T4=0,"",P4/T4)</f>
        <v/>
      </c>
      <c r="V4" s="3">
        <f>IF(T4=0,"",Q4/T4)</f>
        <v/>
      </c>
      <c r="W4" s="3">
        <f>IF(T4=0,"",R4/T4)</f>
        <v/>
      </c>
      <c r="X4" s="3">
        <f>IF(T4=0,"",S4/T4)</f>
        <v/>
      </c>
      <c r="Y4" s="4">
        <f>IF(T4=0,"",U4*Pesos!$B$2+V4*Pesos!$B$3+W4*Pesos!$B$4+X4*Pesos!$B$5)</f>
        <v/>
      </c>
    </row>
    <row r="5">
      <c r="A5" s="2" t="n">
        <v>3</v>
      </c>
      <c r="B5" t="n">
        <v>8</v>
      </c>
      <c r="C5" t="n">
        <v>876</v>
      </c>
      <c r="D5" t="n">
        <v>864</v>
      </c>
      <c r="E5" t="n">
        <v>562</v>
      </c>
      <c r="F5" t="n">
        <v>533</v>
      </c>
      <c r="G5" t="n">
        <v>489</v>
      </c>
      <c r="H5" t="n">
        <v>344</v>
      </c>
      <c r="I5" t="n">
        <v>1335</v>
      </c>
      <c r="J5" t="n">
        <v>2498</v>
      </c>
      <c r="K5" t="n">
        <v>2653</v>
      </c>
      <c r="L5" t="n">
        <v>666</v>
      </c>
      <c r="M5" t="n">
        <v>230</v>
      </c>
      <c r="N5" t="n">
        <v>91</v>
      </c>
      <c r="O5" s="6" t="n">
        <v>11141</v>
      </c>
      <c r="P5">
        <f>SUM(C5:H5)</f>
        <v/>
      </c>
      <c r="Q5">
        <f>I5</f>
        <v/>
      </c>
      <c r="R5">
        <f>J5</f>
        <v/>
      </c>
      <c r="S5">
        <f>SUM(K5:N5)</f>
        <v/>
      </c>
      <c r="T5">
        <f>SUM(P5:S5)</f>
        <v/>
      </c>
      <c r="U5" s="3">
        <f>IF(T5=0,"",P5/T5)</f>
        <v/>
      </c>
      <c r="V5" s="3">
        <f>IF(T5=0,"",Q5/T5)</f>
        <v/>
      </c>
      <c r="W5" s="3">
        <f>IF(T5=0,"",R5/T5)</f>
        <v/>
      </c>
      <c r="X5" s="3">
        <f>IF(T5=0,"",S5/T5)</f>
        <v/>
      </c>
      <c r="Y5" s="4">
        <f>IF(T5=0,"",U5*Pesos!$B$2+V5*Pesos!$B$3+W5*Pesos!$B$4+X5*Pesos!$B$5)</f>
        <v/>
      </c>
    </row>
    <row r="6">
      <c r="A6" s="2" t="n">
        <v>4</v>
      </c>
      <c r="B6" t="n">
        <v>10</v>
      </c>
      <c r="C6" t="n">
        <v>698</v>
      </c>
      <c r="D6" t="n">
        <v>750</v>
      </c>
      <c r="E6" t="n">
        <v>547</v>
      </c>
      <c r="F6" t="n">
        <v>394</v>
      </c>
      <c r="G6" t="n">
        <v>331</v>
      </c>
      <c r="H6" t="n">
        <v>310</v>
      </c>
      <c r="I6" t="n">
        <v>966</v>
      </c>
      <c r="J6" t="n">
        <v>2877</v>
      </c>
      <c r="K6" t="n">
        <v>6902</v>
      </c>
      <c r="L6" t="n">
        <v>335</v>
      </c>
      <c r="M6" t="n">
        <v>24</v>
      </c>
      <c r="N6" t="n">
        <v>0</v>
      </c>
      <c r="O6" s="6" t="n">
        <v>14134</v>
      </c>
      <c r="P6">
        <f>SUM(C6:H6)</f>
        <v/>
      </c>
      <c r="Q6">
        <f>I6</f>
        <v/>
      </c>
      <c r="R6">
        <f>J6</f>
        <v/>
      </c>
      <c r="S6">
        <f>SUM(K6:N6)</f>
        <v/>
      </c>
      <c r="T6">
        <f>SUM(P6:S6)</f>
        <v/>
      </c>
      <c r="U6" s="3">
        <f>IF(T6=0,"",P6/T6)</f>
        <v/>
      </c>
      <c r="V6" s="3">
        <f>IF(T6=0,"",Q6/T6)</f>
        <v/>
      </c>
      <c r="W6" s="3">
        <f>IF(T6=0,"",R6/T6)</f>
        <v/>
      </c>
      <c r="X6" s="3">
        <f>IF(T6=0,"",S6/T6)</f>
        <v/>
      </c>
      <c r="Y6" s="4">
        <f>IF(T6=0,"",U6*Pesos!$B$2+V6*Pesos!$B$3+W6*Pesos!$B$4+X6*Pesos!$B$5)</f>
        <v/>
      </c>
    </row>
    <row r="7">
      <c r="A7" s="2" t="n">
        <v>5</v>
      </c>
      <c r="B7" t="n">
        <v>9</v>
      </c>
      <c r="C7" t="n">
        <v>814</v>
      </c>
      <c r="D7" t="n">
        <v>669</v>
      </c>
      <c r="E7" t="n">
        <v>669</v>
      </c>
      <c r="F7" t="n">
        <v>421</v>
      </c>
      <c r="G7" t="n">
        <v>345</v>
      </c>
      <c r="H7" t="n">
        <v>276</v>
      </c>
      <c r="I7" t="n">
        <v>1131</v>
      </c>
      <c r="J7" t="n">
        <v>2261</v>
      </c>
      <c r="K7" t="n">
        <v>3199</v>
      </c>
      <c r="L7" t="n">
        <v>1044</v>
      </c>
      <c r="M7" t="n">
        <v>113</v>
      </c>
      <c r="N7" t="n">
        <v>18</v>
      </c>
      <c r="O7" s="6" t="n">
        <v>10960</v>
      </c>
      <c r="P7">
        <f>SUM(C7:H7)</f>
        <v/>
      </c>
      <c r="Q7">
        <f>I7</f>
        <v/>
      </c>
      <c r="R7">
        <f>J7</f>
        <v/>
      </c>
      <c r="S7">
        <f>SUM(K7:N7)</f>
        <v/>
      </c>
      <c r="T7">
        <f>SUM(P7:S7)</f>
        <v/>
      </c>
      <c r="U7" s="3">
        <f>IF(T7=0,"",P7/T7)</f>
        <v/>
      </c>
      <c r="V7" s="3">
        <f>IF(T7=0,"",Q7/T7)</f>
        <v/>
      </c>
      <c r="W7" s="3">
        <f>IF(T7=0,"",R7/T7)</f>
        <v/>
      </c>
      <c r="X7" s="3">
        <f>IF(T7=0,"",S7/T7)</f>
        <v/>
      </c>
      <c r="Y7" s="4">
        <f>IF(T7=0,"",U7*Pesos!$B$2+V7*Pesos!$B$3+W7*Pesos!$B$4+X7*Pesos!$B$5)</f>
        <v/>
      </c>
    </row>
    <row r="8">
      <c r="A8" s="2" t="n">
        <v>6</v>
      </c>
      <c r="B8" t="n">
        <v>8</v>
      </c>
      <c r="C8" t="n">
        <v>703</v>
      </c>
      <c r="D8" t="n">
        <v>670</v>
      </c>
      <c r="E8" t="n">
        <v>536</v>
      </c>
      <c r="F8" t="n">
        <v>348</v>
      </c>
      <c r="G8" t="n">
        <v>321</v>
      </c>
      <c r="H8" t="n">
        <v>219</v>
      </c>
      <c r="I8" t="n">
        <v>780</v>
      </c>
      <c r="J8" t="n">
        <v>2152</v>
      </c>
      <c r="K8" t="n">
        <v>3016</v>
      </c>
      <c r="L8" t="n">
        <v>1366</v>
      </c>
      <c r="M8" t="n">
        <v>157</v>
      </c>
      <c r="N8" t="n">
        <v>2</v>
      </c>
      <c r="O8" s="6" t="n">
        <v>10270</v>
      </c>
      <c r="P8">
        <f>SUM(C8:H8)</f>
        <v/>
      </c>
      <c r="Q8">
        <f>I8</f>
        <v/>
      </c>
      <c r="R8">
        <f>J8</f>
        <v/>
      </c>
      <c r="S8">
        <f>SUM(K8:N8)</f>
        <v/>
      </c>
      <c r="T8">
        <f>SUM(P8:S8)</f>
        <v/>
      </c>
      <c r="U8" s="3">
        <f>IF(T8=0,"",P8/T8)</f>
        <v/>
      </c>
      <c r="V8" s="3">
        <f>IF(T8=0,"",Q8/T8)</f>
        <v/>
      </c>
      <c r="W8" s="3">
        <f>IF(T8=0,"",R8/T8)</f>
        <v/>
      </c>
      <c r="X8" s="3">
        <f>IF(T8=0,"",S8/T8)</f>
        <v/>
      </c>
      <c r="Y8" s="4">
        <f>IF(T8=0,"",U8*Pesos!$B$2+V8*Pesos!$B$3+W8*Pesos!$B$4+X8*Pesos!$B$5)</f>
        <v/>
      </c>
    </row>
    <row r="9">
      <c r="A9" s="2" t="n">
        <v>7</v>
      </c>
      <c r="B9" t="n">
        <v>8</v>
      </c>
      <c r="C9" t="n">
        <v>824</v>
      </c>
      <c r="D9" t="n">
        <v>643</v>
      </c>
      <c r="E9" t="n">
        <v>485</v>
      </c>
      <c r="F9" t="n">
        <v>451</v>
      </c>
      <c r="G9" t="n">
        <v>369</v>
      </c>
      <c r="H9" t="n">
        <v>340</v>
      </c>
      <c r="I9" t="n">
        <v>1121</v>
      </c>
      <c r="J9" t="n">
        <v>2409</v>
      </c>
      <c r="K9" t="n">
        <v>5610</v>
      </c>
      <c r="L9" t="n">
        <v>750</v>
      </c>
      <c r="M9" t="n">
        <v>0</v>
      </c>
      <c r="N9" t="n">
        <v>0</v>
      </c>
      <c r="O9" s="6" t="n">
        <v>13002</v>
      </c>
      <c r="P9">
        <f>SUM(C9:H9)</f>
        <v/>
      </c>
      <c r="Q9">
        <f>I9</f>
        <v/>
      </c>
      <c r="R9">
        <f>J9</f>
        <v/>
      </c>
      <c r="S9">
        <f>SUM(K9:N9)</f>
        <v/>
      </c>
      <c r="T9">
        <f>SUM(P9:S9)</f>
        <v/>
      </c>
      <c r="U9" s="3">
        <f>IF(T9=0,"",P9/T9)</f>
        <v/>
      </c>
      <c r="V9" s="3">
        <f>IF(T9=0,"",Q9/T9)</f>
        <v/>
      </c>
      <c r="W9" s="3">
        <f>IF(T9=0,"",R9/T9)</f>
        <v/>
      </c>
      <c r="X9" s="3">
        <f>IF(T9=0,"",S9/T9)</f>
        <v/>
      </c>
      <c r="Y9" s="4">
        <f>IF(T9=0,"",U9*Pesos!$B$2+V9*Pesos!$B$3+W9*Pesos!$B$4+X9*Pesos!$B$5)</f>
        <v/>
      </c>
    </row>
    <row r="10">
      <c r="A10" s="2" t="n">
        <v>8</v>
      </c>
      <c r="B10" t="n">
        <v>10</v>
      </c>
      <c r="C10" t="n">
        <v>670</v>
      </c>
      <c r="D10" t="n">
        <v>573</v>
      </c>
      <c r="E10" t="n">
        <v>631</v>
      </c>
      <c r="F10" t="n">
        <v>463</v>
      </c>
      <c r="G10" t="n">
        <v>285</v>
      </c>
      <c r="H10" t="n">
        <v>273</v>
      </c>
      <c r="I10" t="n">
        <v>1307</v>
      </c>
      <c r="J10" t="n">
        <v>2372</v>
      </c>
      <c r="K10" t="n">
        <v>5889</v>
      </c>
      <c r="L10" t="n">
        <v>252</v>
      </c>
      <c r="M10" t="n">
        <v>12</v>
      </c>
      <c r="N10" t="n">
        <v>0</v>
      </c>
      <c r="O10" s="6" t="n">
        <v>12727</v>
      </c>
      <c r="P10">
        <f>SUM(C10:H10)</f>
        <v/>
      </c>
      <c r="Q10">
        <f>I10</f>
        <v/>
      </c>
      <c r="R10">
        <f>J10</f>
        <v/>
      </c>
      <c r="S10">
        <f>SUM(K10:N10)</f>
        <v/>
      </c>
      <c r="T10">
        <f>SUM(P10:S10)</f>
        <v/>
      </c>
      <c r="U10" s="3">
        <f>IF(T10=0,"",P10/T10)</f>
        <v/>
      </c>
      <c r="V10" s="3">
        <f>IF(T10=0,"",Q10/T10)</f>
        <v/>
      </c>
      <c r="W10" s="3">
        <f>IF(T10=0,"",R10/T10)</f>
        <v/>
      </c>
      <c r="X10" s="3">
        <f>IF(T10=0,"",S10/T10)</f>
        <v/>
      </c>
      <c r="Y10" s="4">
        <f>IF(T10=0,"",U10*Pesos!$B$2+V10*Pesos!$B$3+W10*Pesos!$B$4+X10*Pesos!$B$5)</f>
        <v/>
      </c>
    </row>
    <row r="11">
      <c r="A11" s="2" t="n">
        <v>9</v>
      </c>
      <c r="B11" t="n">
        <v>11</v>
      </c>
      <c r="C11" t="n">
        <v>1022</v>
      </c>
      <c r="D11" t="n">
        <v>843</v>
      </c>
      <c r="E11" t="n">
        <v>1055</v>
      </c>
      <c r="F11" t="n">
        <v>678</v>
      </c>
      <c r="G11" t="n">
        <v>807</v>
      </c>
      <c r="H11" t="n">
        <v>1452</v>
      </c>
      <c r="I11" t="n">
        <v>2311</v>
      </c>
      <c r="J11" t="n">
        <v>3628</v>
      </c>
      <c r="K11" t="n">
        <v>3788</v>
      </c>
      <c r="L11" t="n">
        <v>1334</v>
      </c>
      <c r="M11" t="n">
        <v>9</v>
      </c>
      <c r="N11" t="n">
        <v>0</v>
      </c>
      <c r="O11" s="6" t="n">
        <v>16927</v>
      </c>
      <c r="P11">
        <f>SUM(C11:H11)</f>
        <v/>
      </c>
      <c r="Q11">
        <f>I11</f>
        <v/>
      </c>
      <c r="R11">
        <f>J11</f>
        <v/>
      </c>
      <c r="S11">
        <f>SUM(K11:N11)</f>
        <v/>
      </c>
      <c r="T11">
        <f>SUM(P11:S11)</f>
        <v/>
      </c>
      <c r="U11" s="3">
        <f>IF(T11=0,"",P11/T11)</f>
        <v/>
      </c>
      <c r="V11" s="3">
        <f>IF(T11=0,"",Q11/T11)</f>
        <v/>
      </c>
      <c r="W11" s="3">
        <f>IF(T11=0,"",R11/T11)</f>
        <v/>
      </c>
      <c r="X11" s="3">
        <f>IF(T11=0,"",S11/T11)</f>
        <v/>
      </c>
      <c r="Y11" s="4">
        <f>IF(T11=0,"",U11*Pesos!$B$2+V11*Pesos!$B$3+W11*Pesos!$B$4+X11*Pesos!$B$5)</f>
        <v/>
      </c>
    </row>
    <row r="12">
      <c r="A12" s="2" t="n">
        <v>10</v>
      </c>
      <c r="B12" t="n">
        <v>7</v>
      </c>
      <c r="C12" t="n">
        <v>902</v>
      </c>
      <c r="D12" t="n">
        <v>815</v>
      </c>
      <c r="E12" t="n">
        <v>1008</v>
      </c>
      <c r="F12" t="n">
        <v>1259</v>
      </c>
      <c r="G12" t="n">
        <v>858</v>
      </c>
      <c r="H12" t="n">
        <v>327</v>
      </c>
      <c r="I12" t="n">
        <v>1623</v>
      </c>
      <c r="J12" t="n">
        <v>3211</v>
      </c>
      <c r="K12" t="n">
        <v>2734</v>
      </c>
      <c r="L12" t="n">
        <v>0</v>
      </c>
      <c r="M12" t="n">
        <v>0</v>
      </c>
      <c r="N12" t="n">
        <v>0</v>
      </c>
      <c r="O12" s="6" t="n">
        <v>12737</v>
      </c>
      <c r="P12">
        <f>SUM(C12:H12)</f>
        <v/>
      </c>
      <c r="Q12">
        <f>I12</f>
        <v/>
      </c>
      <c r="R12">
        <f>J12</f>
        <v/>
      </c>
      <c r="S12">
        <f>SUM(K12:N12)</f>
        <v/>
      </c>
      <c r="T12">
        <f>SUM(P12:S12)</f>
        <v/>
      </c>
      <c r="U12" s="3">
        <f>IF(T12=0,"",P12/T12)</f>
        <v/>
      </c>
      <c r="V12" s="3">
        <f>IF(T12=0,"",Q12/T12)</f>
        <v/>
      </c>
      <c r="W12" s="3">
        <f>IF(T12=0,"",R12/T12)</f>
        <v/>
      </c>
      <c r="X12" s="3">
        <f>IF(T12=0,"",S12/T12)</f>
        <v/>
      </c>
      <c r="Y12" s="4">
        <f>IF(T12=0,"",U12*Pesos!$B$2+V12*Pesos!$B$3+W12*Pesos!$B$4+X12*Pesos!$B$5)</f>
        <v/>
      </c>
    </row>
    <row r="13">
      <c r="A13" s="2" t="n">
        <v>11</v>
      </c>
      <c r="B13" t="n">
        <v>7</v>
      </c>
      <c r="C13" t="n">
        <v>1080</v>
      </c>
      <c r="D13" t="n">
        <v>687</v>
      </c>
      <c r="E13" t="n">
        <v>543</v>
      </c>
      <c r="F13" t="n">
        <v>385</v>
      </c>
      <c r="G13" t="n">
        <v>362</v>
      </c>
      <c r="H13" t="n">
        <v>293</v>
      </c>
      <c r="I13" t="n">
        <v>937</v>
      </c>
      <c r="J13" t="n">
        <v>2124</v>
      </c>
      <c r="K13" t="n">
        <v>3108</v>
      </c>
      <c r="L13" t="n">
        <v>637</v>
      </c>
      <c r="M13" t="n">
        <v>1</v>
      </c>
      <c r="N13" t="n">
        <v>0</v>
      </c>
      <c r="O13" s="6" t="n">
        <v>10157</v>
      </c>
      <c r="P13">
        <f>SUM(C13:H13)</f>
        <v/>
      </c>
      <c r="Q13">
        <f>I13</f>
        <v/>
      </c>
      <c r="R13">
        <f>J13</f>
        <v/>
      </c>
      <c r="S13">
        <f>SUM(K13:N13)</f>
        <v/>
      </c>
      <c r="T13">
        <f>SUM(P13:S13)</f>
        <v/>
      </c>
      <c r="U13" s="3">
        <f>IF(T13=0,"",P13/T13)</f>
        <v/>
      </c>
      <c r="V13" s="3">
        <f>IF(T13=0,"",Q13/T13)</f>
        <v/>
      </c>
      <c r="W13" s="3">
        <f>IF(T13=0,"",R13/T13)</f>
        <v/>
      </c>
      <c r="X13" s="3">
        <f>IF(T13=0,"",S13/T13)</f>
        <v/>
      </c>
      <c r="Y13" s="4">
        <f>IF(T13=0,"",U13*Pesos!$B$2+V13*Pesos!$B$3+W13*Pesos!$B$4+X13*Pesos!$B$5)</f>
        <v/>
      </c>
    </row>
    <row r="14">
      <c r="A14" s="2" t="n">
        <v>12</v>
      </c>
      <c r="B14" t="n">
        <v>7</v>
      </c>
      <c r="C14" t="n">
        <v>1869</v>
      </c>
      <c r="D14" t="n">
        <v>1933</v>
      </c>
      <c r="E14" t="n">
        <v>1374</v>
      </c>
      <c r="F14" t="n">
        <v>1905</v>
      </c>
      <c r="G14" t="n">
        <v>617</v>
      </c>
      <c r="H14" t="n">
        <v>214</v>
      </c>
      <c r="I14" t="n">
        <v>1269</v>
      </c>
      <c r="J14" t="n">
        <v>1855</v>
      </c>
      <c r="K14" t="n">
        <v>1303</v>
      </c>
      <c r="L14" t="n">
        <v>724</v>
      </c>
      <c r="M14" t="n">
        <v>6</v>
      </c>
      <c r="N14" t="n">
        <v>0</v>
      </c>
      <c r="O14" s="6" t="n">
        <v>13069</v>
      </c>
      <c r="P14">
        <f>SUM(C14:H14)</f>
        <v/>
      </c>
      <c r="Q14">
        <f>I14</f>
        <v/>
      </c>
      <c r="R14">
        <f>J14</f>
        <v/>
      </c>
      <c r="S14">
        <f>SUM(K14:N14)</f>
        <v/>
      </c>
      <c r="T14">
        <f>SUM(P14:S14)</f>
        <v/>
      </c>
      <c r="U14" s="3">
        <f>IF(T14=0,"",P14/T14)</f>
        <v/>
      </c>
      <c r="V14" s="3">
        <f>IF(T14=0,"",Q14/T14)</f>
        <v/>
      </c>
      <c r="W14" s="3">
        <f>IF(T14=0,"",R14/T14)</f>
        <v/>
      </c>
      <c r="X14" s="3">
        <f>IF(T14=0,"",S14/T14)</f>
        <v/>
      </c>
      <c r="Y14" s="4">
        <f>IF(T14=0,"",U14*Pesos!$B$2+V14*Pesos!$B$3+W14*Pesos!$B$4+X14*Pesos!$B$5)</f>
        <v/>
      </c>
    </row>
    <row r="15">
      <c r="A15" s="2" t="n">
        <v>13</v>
      </c>
      <c r="B15" t="n">
        <v>7</v>
      </c>
      <c r="C15" t="n">
        <v>981</v>
      </c>
      <c r="D15" t="n">
        <v>1106</v>
      </c>
      <c r="E15" t="n">
        <v>991</v>
      </c>
      <c r="F15" t="n">
        <v>1085</v>
      </c>
      <c r="G15" t="n">
        <v>1149</v>
      </c>
      <c r="H15" t="n">
        <v>829</v>
      </c>
      <c r="I15" t="n">
        <v>821</v>
      </c>
      <c r="J15" t="n">
        <v>1669</v>
      </c>
      <c r="K15" t="n">
        <v>2101</v>
      </c>
      <c r="L15" t="n">
        <v>125</v>
      </c>
      <c r="M15" t="n">
        <v>3</v>
      </c>
      <c r="N15" t="n">
        <v>0</v>
      </c>
      <c r="O15" s="6" t="n">
        <v>10860</v>
      </c>
      <c r="P15">
        <f>SUM(C15:H15)</f>
        <v/>
      </c>
      <c r="Q15">
        <f>I15</f>
        <v/>
      </c>
      <c r="R15">
        <f>J15</f>
        <v/>
      </c>
      <c r="S15">
        <f>SUM(K15:N15)</f>
        <v/>
      </c>
      <c r="T15">
        <f>SUM(P15:S15)</f>
        <v/>
      </c>
      <c r="U15" s="3">
        <f>IF(T15=0,"",P15/T15)</f>
        <v/>
      </c>
      <c r="V15" s="3">
        <f>IF(T15=0,"",Q15/T15)</f>
        <v/>
      </c>
      <c r="W15" s="3">
        <f>IF(T15=0,"",R15/T15)</f>
        <v/>
      </c>
      <c r="X15" s="3">
        <f>IF(T15=0,"",S15/T15)</f>
        <v/>
      </c>
      <c r="Y15" s="4">
        <f>IF(T15=0,"",U15*Pesos!$B$2+V15*Pesos!$B$3+W15*Pesos!$B$4+X15*Pesos!$B$5)</f>
        <v/>
      </c>
    </row>
    <row r="16">
      <c r="A16" s="2" t="n">
        <v>14</v>
      </c>
      <c r="B16" t="n">
        <v>4</v>
      </c>
      <c r="C16" t="n">
        <v>2117</v>
      </c>
      <c r="D16" t="n">
        <v>2881</v>
      </c>
      <c r="E16" t="n">
        <v>1811</v>
      </c>
      <c r="F16" t="n">
        <v>404</v>
      </c>
      <c r="G16" t="n">
        <v>519</v>
      </c>
      <c r="H16" t="n">
        <v>361</v>
      </c>
      <c r="I16" t="n">
        <v>62</v>
      </c>
      <c r="J16" t="n">
        <v>12</v>
      </c>
      <c r="K16" t="n">
        <v>35</v>
      </c>
      <c r="L16" t="n">
        <v>6</v>
      </c>
      <c r="M16" t="n">
        <v>0</v>
      </c>
      <c r="N16" t="n">
        <v>0</v>
      </c>
      <c r="O16" s="6" t="n">
        <v>8208</v>
      </c>
      <c r="P16">
        <f>SUM(C16:H16)</f>
        <v/>
      </c>
      <c r="Q16">
        <f>I16</f>
        <v/>
      </c>
      <c r="R16">
        <f>J16</f>
        <v/>
      </c>
      <c r="S16">
        <f>SUM(K16:N16)</f>
        <v/>
      </c>
      <c r="T16">
        <f>SUM(P16:S16)</f>
        <v/>
      </c>
      <c r="U16" s="3">
        <f>IF(T16=0,"",P16/T16)</f>
        <v/>
      </c>
      <c r="V16" s="3">
        <f>IF(T16=0,"",Q16/T16)</f>
        <v/>
      </c>
      <c r="W16" s="3">
        <f>IF(T16=0,"",R16/T16)</f>
        <v/>
      </c>
      <c r="X16" s="3">
        <f>IF(T16=0,"",S16/T16)</f>
        <v/>
      </c>
      <c r="Y16" s="4">
        <f>IF(T16=0,"",U16*Pesos!$B$2+V16*Pesos!$B$3+W16*Pesos!$B$4+X16*Pesos!$B$5)</f>
        <v/>
      </c>
    </row>
    <row r="17">
      <c r="A17" s="2" t="n">
        <v>15</v>
      </c>
      <c r="B17" t="n">
        <v>9</v>
      </c>
      <c r="C17" t="n">
        <v>842</v>
      </c>
      <c r="D17" t="n">
        <v>837</v>
      </c>
      <c r="E17" t="n">
        <v>720</v>
      </c>
      <c r="F17" t="n">
        <v>480</v>
      </c>
      <c r="G17" t="n">
        <v>374</v>
      </c>
      <c r="H17" t="n">
        <v>280</v>
      </c>
      <c r="I17" t="n">
        <v>1064</v>
      </c>
      <c r="J17" t="n">
        <v>2869</v>
      </c>
      <c r="K17" t="n">
        <v>5721</v>
      </c>
      <c r="L17" t="n">
        <v>636</v>
      </c>
      <c r="M17" t="n">
        <v>8</v>
      </c>
      <c r="N17" t="n">
        <v>0</v>
      </c>
      <c r="O17" s="6" t="n">
        <v>13831</v>
      </c>
      <c r="P17">
        <f>SUM(C17:H17)</f>
        <v/>
      </c>
      <c r="Q17">
        <f>I17</f>
        <v/>
      </c>
      <c r="R17">
        <f>J17</f>
        <v/>
      </c>
      <c r="S17">
        <f>SUM(K17:N17)</f>
        <v/>
      </c>
      <c r="T17">
        <f>SUM(P17:S17)</f>
        <v/>
      </c>
      <c r="U17" s="3">
        <f>IF(T17=0,"",P17/T17)</f>
        <v/>
      </c>
      <c r="V17" s="3">
        <f>IF(T17=0,"",Q17/T17)</f>
        <v/>
      </c>
      <c r="W17" s="3">
        <f>IF(T17=0,"",R17/T17)</f>
        <v/>
      </c>
      <c r="X17" s="3">
        <f>IF(T17=0,"",S17/T17)</f>
        <v/>
      </c>
      <c r="Y17" s="4">
        <f>IF(T17=0,"",U17*Pesos!$B$2+V17*Pesos!$B$3+W17*Pesos!$B$4+X17*Pesos!$B$5)</f>
        <v/>
      </c>
    </row>
    <row r="18">
      <c r="A18" s="2" t="n">
        <v>16</v>
      </c>
      <c r="B18" t="n">
        <v>10</v>
      </c>
      <c r="C18" t="n">
        <v>923</v>
      </c>
      <c r="D18" t="n">
        <v>881</v>
      </c>
      <c r="E18" t="n">
        <v>915</v>
      </c>
      <c r="F18" t="n">
        <v>958</v>
      </c>
      <c r="G18" t="n">
        <v>646</v>
      </c>
      <c r="H18" t="n">
        <v>835</v>
      </c>
      <c r="I18" t="n">
        <v>3238</v>
      </c>
      <c r="J18" t="n">
        <v>5748</v>
      </c>
      <c r="K18" t="n">
        <v>2872</v>
      </c>
      <c r="L18" t="n">
        <v>113</v>
      </c>
      <c r="M18" t="n">
        <v>12</v>
      </c>
      <c r="N18" t="n">
        <v>0</v>
      </c>
      <c r="O18" s="6" t="n">
        <v>17141</v>
      </c>
      <c r="P18">
        <f>SUM(C18:H18)</f>
        <v/>
      </c>
      <c r="Q18">
        <f>I18</f>
        <v/>
      </c>
      <c r="R18">
        <f>J18</f>
        <v/>
      </c>
      <c r="S18">
        <f>SUM(K18:N18)</f>
        <v/>
      </c>
      <c r="T18">
        <f>SUM(P18:S18)</f>
        <v/>
      </c>
      <c r="U18" s="3">
        <f>IF(T18=0,"",P18/T18)</f>
        <v/>
      </c>
      <c r="V18" s="3">
        <f>IF(T18=0,"",Q18/T18)</f>
        <v/>
      </c>
      <c r="W18" s="3">
        <f>IF(T18=0,"",R18/T18)</f>
        <v/>
      </c>
      <c r="X18" s="3">
        <f>IF(T18=0,"",S18/T18)</f>
        <v/>
      </c>
      <c r="Y18" s="4">
        <f>IF(T18=0,"",U18*Pesos!$B$2+V18*Pesos!$B$3+W18*Pesos!$B$4+X18*Pesos!$B$5)</f>
        <v/>
      </c>
    </row>
    <row r="19">
      <c r="A19" s="2" t="n">
        <v>17</v>
      </c>
      <c r="B19" t="n">
        <v>11</v>
      </c>
      <c r="C19" t="n">
        <v>926</v>
      </c>
      <c r="D19" t="n">
        <v>985</v>
      </c>
      <c r="E19" t="n">
        <v>1031</v>
      </c>
      <c r="F19" t="n">
        <v>884</v>
      </c>
      <c r="G19" t="n">
        <v>567</v>
      </c>
      <c r="H19" t="n">
        <v>487</v>
      </c>
      <c r="I19" t="n">
        <v>1762</v>
      </c>
      <c r="J19" t="n">
        <v>3490</v>
      </c>
      <c r="K19" t="n">
        <v>5174</v>
      </c>
      <c r="L19" t="n">
        <v>1794</v>
      </c>
      <c r="M19" t="n">
        <v>123</v>
      </c>
      <c r="N19" t="n">
        <v>18</v>
      </c>
      <c r="O19" s="6" t="n">
        <v>17241</v>
      </c>
      <c r="P19">
        <f>SUM(C19:H19)</f>
        <v/>
      </c>
      <c r="Q19">
        <f>I19</f>
        <v/>
      </c>
      <c r="R19">
        <f>J19</f>
        <v/>
      </c>
      <c r="S19">
        <f>SUM(K19:N19)</f>
        <v/>
      </c>
      <c r="T19">
        <f>SUM(P19:S19)</f>
        <v/>
      </c>
      <c r="U19" s="3">
        <f>IF(T19=0,"",P19/T19)</f>
        <v/>
      </c>
      <c r="V19" s="3">
        <f>IF(T19=0,"",Q19/T19)</f>
        <v/>
      </c>
      <c r="W19" s="3">
        <f>IF(T19=0,"",R19/T19)</f>
        <v/>
      </c>
      <c r="X19" s="3">
        <f>IF(T19=0,"",S19/T19)</f>
        <v/>
      </c>
      <c r="Y19" s="4">
        <f>IF(T19=0,"",U19*Pesos!$B$2+V19*Pesos!$B$3+W19*Pesos!$B$4+X19*Pesos!$B$5)</f>
        <v/>
      </c>
    </row>
    <row r="20">
      <c r="A20" s="2" t="n">
        <v>18</v>
      </c>
      <c r="B20" t="n">
        <v>10</v>
      </c>
      <c r="C20" t="n">
        <v>667</v>
      </c>
      <c r="D20" t="n">
        <v>688</v>
      </c>
      <c r="E20" t="n">
        <v>662</v>
      </c>
      <c r="F20" t="n">
        <v>557</v>
      </c>
      <c r="G20" t="n">
        <v>312</v>
      </c>
      <c r="H20" t="n">
        <v>340</v>
      </c>
      <c r="I20" t="n">
        <v>1264</v>
      </c>
      <c r="J20" t="n">
        <v>3215</v>
      </c>
      <c r="K20" t="n">
        <v>7078</v>
      </c>
      <c r="L20" t="n">
        <v>1107</v>
      </c>
      <c r="M20" t="n">
        <v>20</v>
      </c>
      <c r="N20" t="n">
        <v>0</v>
      </c>
      <c r="O20" s="6" t="n">
        <v>15910</v>
      </c>
      <c r="P20">
        <f>SUM(C20:H20)</f>
        <v/>
      </c>
      <c r="Q20">
        <f>I20</f>
        <v/>
      </c>
      <c r="R20">
        <f>J20</f>
        <v/>
      </c>
      <c r="S20">
        <f>SUM(K20:N20)</f>
        <v/>
      </c>
      <c r="T20">
        <f>SUM(P20:S20)</f>
        <v/>
      </c>
      <c r="U20" s="3">
        <f>IF(T20=0,"",P20/T20)</f>
        <v/>
      </c>
      <c r="V20" s="3">
        <f>IF(T20=0,"",Q20/T20)</f>
        <v/>
      </c>
      <c r="W20" s="3">
        <f>IF(T20=0,"",R20/T20)</f>
        <v/>
      </c>
      <c r="X20" s="3">
        <f>IF(T20=0,"",S20/T20)</f>
        <v/>
      </c>
      <c r="Y20" s="4">
        <f>IF(T20=0,"",U20*Pesos!$B$2+V20*Pesos!$B$3+W20*Pesos!$B$4+X20*Pesos!$B$5)</f>
        <v/>
      </c>
    </row>
    <row r="21">
      <c r="A21" s="2" t="n">
        <v>19</v>
      </c>
      <c r="B21" t="n">
        <v>8</v>
      </c>
      <c r="C21" t="n">
        <v>461</v>
      </c>
      <c r="D21" t="n">
        <v>455</v>
      </c>
      <c r="E21" t="n">
        <v>494</v>
      </c>
      <c r="F21" t="n">
        <v>519</v>
      </c>
      <c r="G21" t="n">
        <v>351</v>
      </c>
      <c r="H21" t="n">
        <v>274</v>
      </c>
      <c r="I21" t="n">
        <v>1151</v>
      </c>
      <c r="J21" t="n">
        <v>2822</v>
      </c>
      <c r="K21" t="n">
        <v>3849</v>
      </c>
      <c r="L21" t="n">
        <v>1184</v>
      </c>
      <c r="M21" t="n">
        <v>51</v>
      </c>
      <c r="N21" t="n">
        <v>0</v>
      </c>
      <c r="O21" s="6" t="n">
        <v>11611</v>
      </c>
      <c r="P21">
        <f>SUM(C21:H21)</f>
        <v/>
      </c>
      <c r="Q21">
        <f>I21</f>
        <v/>
      </c>
      <c r="R21">
        <f>J21</f>
        <v/>
      </c>
      <c r="S21">
        <f>SUM(K21:N21)</f>
        <v/>
      </c>
      <c r="T21">
        <f>SUM(P21:S21)</f>
        <v/>
      </c>
      <c r="U21" s="3">
        <f>IF(T21=0,"",P21/T21)</f>
        <v/>
      </c>
      <c r="V21" s="3">
        <f>IF(T21=0,"",Q21/T21)</f>
        <v/>
      </c>
      <c r="W21" s="3">
        <f>IF(T21=0,"",R21/T21)</f>
        <v/>
      </c>
      <c r="X21" s="3">
        <f>IF(T21=0,"",S21/T21)</f>
        <v/>
      </c>
      <c r="Y21" s="4">
        <f>IF(T21=0,"",U21*Pesos!$B$2+V21*Pesos!$B$3+W21*Pesos!$B$4+X21*Pesos!$B$5)</f>
        <v/>
      </c>
    </row>
    <row r="22">
      <c r="A22" s="2" t="n">
        <v>20</v>
      </c>
      <c r="B22" t="n">
        <v>7</v>
      </c>
      <c r="C22" t="n">
        <v>578</v>
      </c>
      <c r="D22" t="n">
        <v>762</v>
      </c>
      <c r="E22" t="n">
        <v>592</v>
      </c>
      <c r="F22" t="n">
        <v>423</v>
      </c>
      <c r="G22" t="n">
        <v>428</v>
      </c>
      <c r="H22" t="n">
        <v>300</v>
      </c>
      <c r="I22" t="n">
        <v>2238</v>
      </c>
      <c r="J22" t="n">
        <v>4558</v>
      </c>
      <c r="K22" t="n">
        <v>3492</v>
      </c>
      <c r="L22" t="n">
        <v>298</v>
      </c>
      <c r="M22" t="n">
        <v>3</v>
      </c>
      <c r="N22" t="n">
        <v>0</v>
      </c>
      <c r="O22" s="6" t="n">
        <v>13672</v>
      </c>
      <c r="P22">
        <f>SUM(C22:H22)</f>
        <v/>
      </c>
      <c r="Q22">
        <f>I22</f>
        <v/>
      </c>
      <c r="R22">
        <f>J22</f>
        <v/>
      </c>
      <c r="S22">
        <f>SUM(K22:N22)</f>
        <v/>
      </c>
      <c r="T22">
        <f>SUM(P22:S22)</f>
        <v/>
      </c>
      <c r="U22" s="3">
        <f>IF(T22=0,"",P22/T22)</f>
        <v/>
      </c>
      <c r="V22" s="3">
        <f>IF(T22=0,"",Q22/T22)</f>
        <v/>
      </c>
      <c r="W22" s="3">
        <f>IF(T22=0,"",R22/T22)</f>
        <v/>
      </c>
      <c r="X22" s="3">
        <f>IF(T22=0,"",S22/T22)</f>
        <v/>
      </c>
      <c r="Y22" s="4">
        <f>IF(T22=0,"",U22*Pesos!$B$2+V22*Pesos!$B$3+W22*Pesos!$B$4+X22*Pesos!$B$5)</f>
        <v/>
      </c>
    </row>
    <row r="23">
      <c r="A23" s="2" t="n">
        <v>21</v>
      </c>
      <c r="B23" t="n">
        <v>6</v>
      </c>
      <c r="C23" t="n">
        <v>1071</v>
      </c>
      <c r="D23" t="n">
        <v>923</v>
      </c>
      <c r="E23" t="n">
        <v>681</v>
      </c>
      <c r="F23" t="n">
        <v>874</v>
      </c>
      <c r="G23" t="n">
        <v>1287</v>
      </c>
      <c r="H23" t="n">
        <v>2461</v>
      </c>
      <c r="I23" t="n">
        <v>2627</v>
      </c>
      <c r="J23" t="n">
        <v>420</v>
      </c>
      <c r="K23" t="n">
        <v>1236</v>
      </c>
      <c r="L23" t="n">
        <v>0</v>
      </c>
      <c r="M23" t="n">
        <v>0</v>
      </c>
      <c r="N23" t="n">
        <v>0</v>
      </c>
      <c r="O23" s="6" t="n">
        <v>11580</v>
      </c>
      <c r="P23">
        <f>SUM(C23:H23)</f>
        <v/>
      </c>
      <c r="Q23">
        <f>I23</f>
        <v/>
      </c>
      <c r="R23">
        <f>J23</f>
        <v/>
      </c>
      <c r="S23">
        <f>SUM(K23:N23)</f>
        <v/>
      </c>
      <c r="T23">
        <f>SUM(P23:S23)</f>
        <v/>
      </c>
      <c r="U23" s="3">
        <f>IF(T23=0,"",P23/T23)</f>
        <v/>
      </c>
      <c r="V23" s="3">
        <f>IF(T23=0,"",Q23/T23)</f>
        <v/>
      </c>
      <c r="W23" s="3">
        <f>IF(T23=0,"",R23/T23)</f>
        <v/>
      </c>
      <c r="X23" s="3">
        <f>IF(T23=0,"",S23/T23)</f>
        <v/>
      </c>
      <c r="Y23" s="4">
        <f>IF(T23=0,"",U23*Pesos!$B$2+V23*Pesos!$B$3+W23*Pesos!$B$4+X23*Pesos!$B$5)</f>
        <v/>
      </c>
    </row>
    <row r="24">
      <c r="A24" s="2" t="n">
        <v>22</v>
      </c>
      <c r="B24" t="n">
        <v>9</v>
      </c>
      <c r="C24" t="n">
        <v>1733</v>
      </c>
      <c r="D24" t="n">
        <v>1778</v>
      </c>
      <c r="E24" t="n">
        <v>1584</v>
      </c>
      <c r="F24" t="n">
        <v>1455</v>
      </c>
      <c r="G24" t="n">
        <v>1177</v>
      </c>
      <c r="H24" t="n">
        <v>714</v>
      </c>
      <c r="I24" t="n">
        <v>1900</v>
      </c>
      <c r="J24" t="n">
        <v>6613</v>
      </c>
      <c r="K24" t="n">
        <v>1085</v>
      </c>
      <c r="L24" t="n">
        <v>18</v>
      </c>
      <c r="M24" t="n">
        <v>5</v>
      </c>
      <c r="N24" t="n">
        <v>0</v>
      </c>
      <c r="O24" s="6" t="n">
        <v>18062</v>
      </c>
      <c r="P24">
        <f>SUM(C24:H24)</f>
        <v/>
      </c>
      <c r="Q24">
        <f>I24</f>
        <v/>
      </c>
      <c r="R24">
        <f>J24</f>
        <v/>
      </c>
      <c r="S24">
        <f>SUM(K24:N24)</f>
        <v/>
      </c>
      <c r="T24">
        <f>SUM(P24:S24)</f>
        <v/>
      </c>
      <c r="U24" s="3">
        <f>IF(T24=0,"",P24/T24)</f>
        <v/>
      </c>
      <c r="V24" s="3">
        <f>IF(T24=0,"",Q24/T24)</f>
        <v/>
      </c>
      <c r="W24" s="3">
        <f>IF(T24=0,"",R24/T24)</f>
        <v/>
      </c>
      <c r="X24" s="3">
        <f>IF(T24=0,"",S24/T24)</f>
        <v/>
      </c>
      <c r="Y24" s="4">
        <f>IF(T24=0,"",U24*Pesos!$B$2+V24*Pesos!$B$3+W24*Pesos!$B$4+X24*Pesos!$B$5)</f>
        <v/>
      </c>
    </row>
    <row r="25">
      <c r="A25" s="2" t="n">
        <v>23</v>
      </c>
      <c r="B25" t="n">
        <v>2</v>
      </c>
      <c r="C25" t="n">
        <v>291</v>
      </c>
      <c r="D25" t="n">
        <v>128</v>
      </c>
      <c r="E25" t="n">
        <v>129</v>
      </c>
      <c r="F25" t="n">
        <v>128</v>
      </c>
      <c r="G25" t="n">
        <v>129</v>
      </c>
      <c r="H25" t="n">
        <v>124</v>
      </c>
      <c r="I25" t="n">
        <v>1122</v>
      </c>
      <c r="J25" t="n">
        <v>1538</v>
      </c>
      <c r="K25" t="n">
        <v>10</v>
      </c>
      <c r="L25" t="n">
        <v>0</v>
      </c>
      <c r="M25" t="n">
        <v>0</v>
      </c>
      <c r="N25" t="n">
        <v>0</v>
      </c>
      <c r="O25" s="6" t="n">
        <v>3599</v>
      </c>
      <c r="P25">
        <f>SUM(C25:H25)</f>
        <v/>
      </c>
      <c r="Q25">
        <f>I25</f>
        <v/>
      </c>
      <c r="R25">
        <f>J25</f>
        <v/>
      </c>
      <c r="S25">
        <f>SUM(K25:N25)</f>
        <v/>
      </c>
      <c r="T25">
        <f>SUM(P25:S25)</f>
        <v/>
      </c>
      <c r="U25" s="3">
        <f>IF(T25=0,"",P25/T25)</f>
        <v/>
      </c>
      <c r="V25" s="3">
        <f>IF(T25=0,"",Q25/T25)</f>
        <v/>
      </c>
      <c r="W25" s="3">
        <f>IF(T25=0,"",R25/T25)</f>
        <v/>
      </c>
      <c r="X25" s="3">
        <f>IF(T25=0,"",S25/T25)</f>
        <v/>
      </c>
      <c r="Y25" s="4">
        <f>IF(T25=0,"",U25*Pesos!$B$2+V25*Pesos!$B$3+W25*Pesos!$B$4+X25*Pesos!$B$5)</f>
        <v/>
      </c>
    </row>
    <row r="26">
      <c r="A26" s="2" t="n">
        <v>24</v>
      </c>
      <c r="B26" t="n">
        <v>9</v>
      </c>
      <c r="C26" t="n">
        <v>1058</v>
      </c>
      <c r="D26" t="n">
        <v>1229</v>
      </c>
      <c r="E26" t="n">
        <v>882</v>
      </c>
      <c r="F26" t="n">
        <v>512</v>
      </c>
      <c r="G26" t="n">
        <v>397</v>
      </c>
      <c r="H26" t="n">
        <v>301</v>
      </c>
      <c r="I26" t="n">
        <v>1328</v>
      </c>
      <c r="J26" t="n">
        <v>1576</v>
      </c>
      <c r="K26" t="n">
        <v>3676</v>
      </c>
      <c r="L26" t="n">
        <v>1405</v>
      </c>
      <c r="M26" t="n">
        <v>27</v>
      </c>
      <c r="N26" t="n">
        <v>1</v>
      </c>
      <c r="O26" s="6" t="n">
        <v>12392</v>
      </c>
      <c r="P26">
        <f>SUM(C26:H26)</f>
        <v/>
      </c>
      <c r="Q26">
        <f>I26</f>
        <v/>
      </c>
      <c r="R26">
        <f>J26</f>
        <v/>
      </c>
      <c r="S26">
        <f>SUM(K26:N26)</f>
        <v/>
      </c>
      <c r="T26">
        <f>SUM(P26:S26)</f>
        <v/>
      </c>
      <c r="U26" s="3">
        <f>IF(T26=0,"",P26/T26)</f>
        <v/>
      </c>
      <c r="V26" s="3">
        <f>IF(T26=0,"",Q26/T26)</f>
        <v/>
      </c>
      <c r="W26" s="3">
        <f>IF(T26=0,"",R26/T26)</f>
        <v/>
      </c>
      <c r="X26" s="3">
        <f>IF(T26=0,"",S26/T26)</f>
        <v/>
      </c>
      <c r="Y26" s="4">
        <f>IF(T26=0,"",U26*Pesos!$B$2+V26*Pesos!$B$3+W26*Pesos!$B$4+X26*Pesos!$B$5)</f>
        <v/>
      </c>
    </row>
    <row r="27">
      <c r="A27" s="2" t="n">
        <v>25</v>
      </c>
      <c r="B27" t="n">
        <v>9</v>
      </c>
      <c r="C27" t="n">
        <v>780</v>
      </c>
      <c r="D27" t="n">
        <v>590</v>
      </c>
      <c r="E27" t="n">
        <v>620</v>
      </c>
      <c r="F27" t="n">
        <v>386</v>
      </c>
      <c r="G27" t="n">
        <v>366</v>
      </c>
      <c r="H27" t="n">
        <v>389</v>
      </c>
      <c r="I27" t="n">
        <v>935</v>
      </c>
      <c r="J27" t="n">
        <v>1575</v>
      </c>
      <c r="K27" t="n">
        <v>3534</v>
      </c>
      <c r="L27" t="n">
        <v>1982</v>
      </c>
      <c r="M27" t="n">
        <v>1</v>
      </c>
      <c r="N27" t="n">
        <v>0</v>
      </c>
      <c r="O27" s="6" t="n">
        <v>11158</v>
      </c>
      <c r="P27">
        <f>SUM(C27:H27)</f>
        <v/>
      </c>
      <c r="Q27">
        <f>I27</f>
        <v/>
      </c>
      <c r="R27">
        <f>J27</f>
        <v/>
      </c>
      <c r="S27">
        <f>SUM(K27:N27)</f>
        <v/>
      </c>
      <c r="T27">
        <f>SUM(P27:S27)</f>
        <v/>
      </c>
      <c r="U27" s="3">
        <f>IF(T27=0,"",P27/T27)</f>
        <v/>
      </c>
      <c r="V27" s="3">
        <f>IF(T27=0,"",Q27/T27)</f>
        <v/>
      </c>
      <c r="W27" s="3">
        <f>IF(T27=0,"",R27/T27)</f>
        <v/>
      </c>
      <c r="X27" s="3">
        <f>IF(T27=0,"",S27/T27)</f>
        <v/>
      </c>
      <c r="Y27" s="4">
        <f>IF(T27=0,"",U27*Pesos!$B$2+V27*Pesos!$B$3+W27*Pesos!$B$4+X27*Pesos!$B$5)</f>
        <v/>
      </c>
    </row>
    <row r="28">
      <c r="A28" s="2" t="n">
        <v>26</v>
      </c>
      <c r="B28" t="n">
        <v>7</v>
      </c>
      <c r="C28" t="n">
        <v>534</v>
      </c>
      <c r="D28" t="n">
        <v>606</v>
      </c>
      <c r="E28" t="n">
        <v>772</v>
      </c>
      <c r="F28" t="n">
        <v>658</v>
      </c>
      <c r="G28" t="n">
        <v>586</v>
      </c>
      <c r="H28" t="n">
        <v>454</v>
      </c>
      <c r="I28" t="n">
        <v>1253</v>
      </c>
      <c r="J28" t="n">
        <v>2414</v>
      </c>
      <c r="K28" t="n">
        <v>4097</v>
      </c>
      <c r="L28" t="n">
        <v>968</v>
      </c>
      <c r="M28" t="n">
        <v>2</v>
      </c>
      <c r="N28" t="n">
        <v>0</v>
      </c>
      <c r="O28" s="6" t="n">
        <v>12344</v>
      </c>
      <c r="P28">
        <f>SUM(C28:H28)</f>
        <v/>
      </c>
      <c r="Q28">
        <f>I28</f>
        <v/>
      </c>
      <c r="R28">
        <f>J28</f>
        <v/>
      </c>
      <c r="S28">
        <f>SUM(K28:N28)</f>
        <v/>
      </c>
      <c r="T28">
        <f>SUM(P28:S28)</f>
        <v/>
      </c>
      <c r="U28" s="3">
        <f>IF(T28=0,"",P28/T28)</f>
        <v/>
      </c>
      <c r="V28" s="3">
        <f>IF(T28=0,"",Q28/T28)</f>
        <v/>
      </c>
      <c r="W28" s="3">
        <f>IF(T28=0,"",R28/T28)</f>
        <v/>
      </c>
      <c r="X28" s="3">
        <f>IF(T28=0,"",S28/T28)</f>
        <v/>
      </c>
      <c r="Y28" s="4">
        <f>IF(T28=0,"",U28*Pesos!$B$2+V28*Pesos!$B$3+W28*Pesos!$B$4+X28*Pesos!$B$5)</f>
        <v/>
      </c>
    </row>
    <row r="29">
      <c r="A29" s="2" t="n">
        <v>27</v>
      </c>
      <c r="B29" t="n">
        <v>7</v>
      </c>
      <c r="C29" t="n">
        <v>1235</v>
      </c>
      <c r="D29" t="n">
        <v>1233</v>
      </c>
      <c r="E29" t="n">
        <v>1270</v>
      </c>
      <c r="F29" t="n">
        <v>1111</v>
      </c>
      <c r="G29" t="n">
        <v>893</v>
      </c>
      <c r="H29" t="n">
        <v>566</v>
      </c>
      <c r="I29" t="n">
        <v>2195</v>
      </c>
      <c r="J29" t="n">
        <v>3157</v>
      </c>
      <c r="K29" t="n">
        <v>912</v>
      </c>
      <c r="L29" t="n">
        <v>95</v>
      </c>
      <c r="M29" t="n">
        <v>13</v>
      </c>
      <c r="N29" t="n">
        <v>3</v>
      </c>
      <c r="O29" s="6" t="n">
        <v>12683</v>
      </c>
      <c r="P29">
        <f>SUM(C29:H29)</f>
        <v/>
      </c>
      <c r="Q29">
        <f>I29</f>
        <v/>
      </c>
      <c r="R29">
        <f>J29</f>
        <v/>
      </c>
      <c r="S29">
        <f>SUM(K29:N29)</f>
        <v/>
      </c>
      <c r="T29">
        <f>SUM(P29:S29)</f>
        <v/>
      </c>
      <c r="U29" s="3">
        <f>IF(T29=0,"",P29/T29)</f>
        <v/>
      </c>
      <c r="V29" s="3">
        <f>IF(T29=0,"",Q29/T29)</f>
        <v/>
      </c>
      <c r="W29" s="3">
        <f>IF(T29=0,"",R29/T29)</f>
        <v/>
      </c>
      <c r="X29" s="3">
        <f>IF(T29=0,"",S29/T29)</f>
        <v/>
      </c>
      <c r="Y29" s="4">
        <f>IF(T29=0,"",U29*Pesos!$B$2+V29*Pesos!$B$3+W29*Pesos!$B$4+X29*Pesos!$B$5)</f>
        <v/>
      </c>
    </row>
    <row r="30">
      <c r="A30" s="2" t="n">
        <v>28</v>
      </c>
      <c r="B30" t="n">
        <v>4</v>
      </c>
      <c r="C30" t="n">
        <v>2120</v>
      </c>
      <c r="D30" t="n">
        <v>1706</v>
      </c>
      <c r="E30" t="n">
        <v>1141</v>
      </c>
      <c r="F30" t="n">
        <v>1319</v>
      </c>
      <c r="G30" t="n">
        <v>1152</v>
      </c>
      <c r="H30" t="n">
        <v>1376</v>
      </c>
      <c r="I30" t="n">
        <v>2406</v>
      </c>
      <c r="J30" t="n">
        <v>91</v>
      </c>
      <c r="K30" t="n">
        <v>51</v>
      </c>
      <c r="L30" t="n">
        <v>9</v>
      </c>
      <c r="M30" t="n">
        <v>1</v>
      </c>
      <c r="N30" t="n">
        <v>0</v>
      </c>
      <c r="O30" s="6" t="n">
        <v>11372</v>
      </c>
      <c r="P30">
        <f>SUM(C30:H30)</f>
        <v/>
      </c>
      <c r="Q30">
        <f>I30</f>
        <v/>
      </c>
      <c r="R30">
        <f>J30</f>
        <v/>
      </c>
      <c r="S30">
        <f>SUM(K30:N30)</f>
        <v/>
      </c>
      <c r="T30">
        <f>SUM(P30:S30)</f>
        <v/>
      </c>
      <c r="U30" s="3">
        <f>IF(T30=0,"",P30/T30)</f>
        <v/>
      </c>
      <c r="V30" s="3">
        <f>IF(T30=0,"",Q30/T30)</f>
        <v/>
      </c>
      <c r="W30" s="3">
        <f>IF(T30=0,"",R30/T30)</f>
        <v/>
      </c>
      <c r="X30" s="3">
        <f>IF(T30=0,"",S30/T30)</f>
        <v/>
      </c>
      <c r="Y30" s="4">
        <f>IF(T30=0,"",U30*Pesos!$B$2+V30*Pesos!$B$3+W30*Pesos!$B$4+X30*Pesos!$B$5)</f>
        <v/>
      </c>
    </row>
    <row r="31">
      <c r="A31" s="2" t="n">
        <v>29</v>
      </c>
      <c r="B31" t="n">
        <v>8</v>
      </c>
      <c r="C31" t="n">
        <v>377</v>
      </c>
      <c r="D31" t="n">
        <v>284</v>
      </c>
      <c r="E31" t="n">
        <v>337</v>
      </c>
      <c r="F31" t="n">
        <v>328</v>
      </c>
      <c r="G31" t="n">
        <v>279</v>
      </c>
      <c r="H31" t="n">
        <v>202</v>
      </c>
      <c r="I31" t="n">
        <v>1485</v>
      </c>
      <c r="J31" t="n">
        <v>1992</v>
      </c>
      <c r="K31" t="n">
        <v>4845</v>
      </c>
      <c r="L31" t="n">
        <v>418</v>
      </c>
      <c r="M31" t="n">
        <v>0</v>
      </c>
      <c r="N31" t="n">
        <v>0</v>
      </c>
      <c r="O31" s="6" t="n">
        <v>10547</v>
      </c>
      <c r="P31">
        <f>SUM(C31:H31)</f>
        <v/>
      </c>
      <c r="Q31">
        <f>I31</f>
        <v/>
      </c>
      <c r="R31">
        <f>J31</f>
        <v/>
      </c>
      <c r="S31">
        <f>SUM(K31:N31)</f>
        <v/>
      </c>
      <c r="T31">
        <f>SUM(P31:S31)</f>
        <v/>
      </c>
      <c r="U31" s="3">
        <f>IF(T31=0,"",P31/T31)</f>
        <v/>
      </c>
      <c r="V31" s="3">
        <f>IF(T31=0,"",Q31/T31)</f>
        <v/>
      </c>
      <c r="W31" s="3">
        <f>IF(T31=0,"",R31/T31)</f>
        <v/>
      </c>
      <c r="X31" s="3">
        <f>IF(T31=0,"",S31/T31)</f>
        <v/>
      </c>
      <c r="Y31" s="4">
        <f>IF(T31=0,"",U31*Pesos!$B$2+V31*Pesos!$B$3+W31*Pesos!$B$4+X31*Pesos!$B$5)</f>
        <v/>
      </c>
    </row>
    <row r="32">
      <c r="A32" s="2" t="n">
        <v>30</v>
      </c>
      <c r="B32" t="n">
        <v>8</v>
      </c>
      <c r="C32" t="n">
        <v>290</v>
      </c>
      <c r="D32" t="n">
        <v>292</v>
      </c>
      <c r="E32" t="n">
        <v>304</v>
      </c>
      <c r="F32" t="n">
        <v>241</v>
      </c>
      <c r="G32" t="n">
        <v>241</v>
      </c>
      <c r="H32" t="n">
        <v>177</v>
      </c>
      <c r="I32" t="n">
        <v>668</v>
      </c>
      <c r="J32" t="n">
        <v>1866</v>
      </c>
      <c r="K32" t="n">
        <v>4476</v>
      </c>
      <c r="L32" t="n">
        <v>62</v>
      </c>
      <c r="M32" t="n">
        <v>0</v>
      </c>
      <c r="N32" t="n">
        <v>0</v>
      </c>
      <c r="O32" s="6" t="n">
        <v>8617</v>
      </c>
      <c r="P32">
        <f>SUM(C32:H32)</f>
        <v/>
      </c>
      <c r="Q32">
        <f>I32</f>
        <v/>
      </c>
      <c r="R32">
        <f>J32</f>
        <v/>
      </c>
      <c r="S32">
        <f>SUM(K32:N32)</f>
        <v/>
      </c>
      <c r="T32">
        <f>SUM(P32:S32)</f>
        <v/>
      </c>
      <c r="U32" s="3">
        <f>IF(T32=0,"",P32/T32)</f>
        <v/>
      </c>
      <c r="V32" s="3">
        <f>IF(T32=0,"",Q32/T32)</f>
        <v/>
      </c>
      <c r="W32" s="3">
        <f>IF(T32=0,"",R32/T32)</f>
        <v/>
      </c>
      <c r="X32" s="3">
        <f>IF(T32=0,"",S32/T32)</f>
        <v/>
      </c>
      <c r="Y32" s="4">
        <f>IF(T32=0,"",U32*Pesos!$B$2+V32*Pesos!$B$3+W32*Pesos!$B$4+X32*Pesos!$B$5)</f>
        <v/>
      </c>
    </row>
    <row r="33">
      <c r="A33" s="2" t="n">
        <v>31</v>
      </c>
      <c r="B33" t="n">
        <v>9</v>
      </c>
      <c r="C33" t="n">
        <v>547</v>
      </c>
      <c r="D33" t="n">
        <v>471</v>
      </c>
      <c r="E33" t="n">
        <v>433</v>
      </c>
      <c r="F33" t="n">
        <v>517</v>
      </c>
      <c r="G33" t="n">
        <v>586</v>
      </c>
      <c r="H33" t="n">
        <v>372</v>
      </c>
      <c r="I33" t="n">
        <v>1359</v>
      </c>
      <c r="J33" t="n">
        <v>1617</v>
      </c>
      <c r="K33" t="n">
        <v>4002</v>
      </c>
      <c r="L33" t="n">
        <v>2290</v>
      </c>
      <c r="M33" t="n">
        <v>263</v>
      </c>
      <c r="N33" t="n">
        <v>0</v>
      </c>
      <c r="O33" s="6" t="n">
        <v>12457</v>
      </c>
      <c r="P33">
        <f>SUM(C33:H33)</f>
        <v/>
      </c>
      <c r="Q33">
        <f>I33</f>
        <v/>
      </c>
      <c r="R33">
        <f>J33</f>
        <v/>
      </c>
      <c r="S33">
        <f>SUM(K33:N33)</f>
        <v/>
      </c>
      <c r="T33">
        <f>SUM(P33:S33)</f>
        <v/>
      </c>
      <c r="U33" s="3">
        <f>IF(T33=0,"",P33/T33)</f>
        <v/>
      </c>
      <c r="V33" s="3">
        <f>IF(T33=0,"",Q33/T33)</f>
        <v/>
      </c>
      <c r="W33" s="3">
        <f>IF(T33=0,"",R33/T33)</f>
        <v/>
      </c>
      <c r="X33" s="3">
        <f>IF(T33=0,"",S33/T33)</f>
        <v/>
      </c>
      <c r="Y33" s="4">
        <f>IF(T33=0,"",U33*Pesos!$B$2+V33*Pesos!$B$3+W33*Pesos!$B$4+X33*Pesos!$B$5)</f>
        <v/>
      </c>
    </row>
    <row r="34">
      <c r="A34" s="2" t="n">
        <v>32</v>
      </c>
      <c r="B34" t="n">
        <v>9</v>
      </c>
      <c r="C34" t="n">
        <v>888</v>
      </c>
      <c r="D34" t="n">
        <v>1497</v>
      </c>
      <c r="E34" t="n">
        <v>1556</v>
      </c>
      <c r="F34" t="n">
        <v>1904</v>
      </c>
      <c r="G34" t="n">
        <v>1951</v>
      </c>
      <c r="H34" t="n">
        <v>2125</v>
      </c>
      <c r="I34" t="n">
        <v>3800</v>
      </c>
      <c r="J34" t="n">
        <v>900</v>
      </c>
      <c r="K34" t="n">
        <v>2241</v>
      </c>
      <c r="L34" t="n">
        <v>165</v>
      </c>
      <c r="M34" t="n">
        <v>0</v>
      </c>
      <c r="N34" t="n">
        <v>0</v>
      </c>
      <c r="O34" s="6" t="n">
        <v>17027</v>
      </c>
      <c r="P34">
        <f>SUM(C34:H34)</f>
        <v/>
      </c>
      <c r="Q34">
        <f>I34</f>
        <v/>
      </c>
      <c r="R34">
        <f>J34</f>
        <v/>
      </c>
      <c r="S34">
        <f>SUM(K34:N34)</f>
        <v/>
      </c>
      <c r="T34">
        <f>SUM(P34:S34)</f>
        <v/>
      </c>
      <c r="U34" s="3">
        <f>IF(T34=0,"",P34/T34)</f>
        <v/>
      </c>
      <c r="V34" s="3">
        <f>IF(T34=0,"",Q34/T34)</f>
        <v/>
      </c>
      <c r="W34" s="3">
        <f>IF(T34=0,"",R34/T34)</f>
        <v/>
      </c>
      <c r="X34" s="3">
        <f>IF(T34=0,"",S34/T34)</f>
        <v/>
      </c>
      <c r="Y34" s="4">
        <f>IF(T34=0,"",U34*Pesos!$B$2+V34*Pesos!$B$3+W34*Pesos!$B$4+X34*Pesos!$B$5)</f>
        <v/>
      </c>
    </row>
    <row r="35">
      <c r="A35" s="2" t="n">
        <v>33</v>
      </c>
      <c r="B35" t="n">
        <v>8</v>
      </c>
      <c r="C35" t="n">
        <v>420</v>
      </c>
      <c r="D35" t="n">
        <v>398</v>
      </c>
      <c r="E35" t="n">
        <v>353</v>
      </c>
      <c r="F35" t="n">
        <v>369</v>
      </c>
      <c r="G35" t="n">
        <v>243</v>
      </c>
      <c r="H35" t="n">
        <v>200</v>
      </c>
      <c r="I35" t="n">
        <v>769</v>
      </c>
      <c r="J35" t="n">
        <v>1662</v>
      </c>
      <c r="K35" t="n">
        <v>4692</v>
      </c>
      <c r="L35" t="n">
        <v>709</v>
      </c>
      <c r="M35" t="n">
        <v>0</v>
      </c>
      <c r="N35" t="n">
        <v>0</v>
      </c>
      <c r="O35" s="6" t="n">
        <v>9815</v>
      </c>
      <c r="P35">
        <f>SUM(C35:H35)</f>
        <v/>
      </c>
      <c r="Q35">
        <f>I35</f>
        <v/>
      </c>
      <c r="R35">
        <f>J35</f>
        <v/>
      </c>
      <c r="S35">
        <f>SUM(K35:N35)</f>
        <v/>
      </c>
      <c r="T35">
        <f>SUM(P35:S35)</f>
        <v/>
      </c>
      <c r="U35" s="3">
        <f>IF(T35=0,"",P35/T35)</f>
        <v/>
      </c>
      <c r="V35" s="3">
        <f>IF(T35=0,"",Q35/T35)</f>
        <v/>
      </c>
      <c r="W35" s="3">
        <f>IF(T35=0,"",R35/T35)</f>
        <v/>
      </c>
      <c r="X35" s="3">
        <f>IF(T35=0,"",S35/T35)</f>
        <v/>
      </c>
      <c r="Y35" s="4">
        <f>IF(T35=0,"",U35*Pesos!$B$2+V35*Pesos!$B$3+W35*Pesos!$B$4+X35*Pesos!$B$5)</f>
        <v/>
      </c>
    </row>
    <row r="36">
      <c r="A36" s="2" t="n">
        <v>34</v>
      </c>
      <c r="B36" t="n">
        <v>8</v>
      </c>
      <c r="C36" t="n">
        <v>384</v>
      </c>
      <c r="D36" t="n">
        <v>373</v>
      </c>
      <c r="E36" t="n">
        <v>348</v>
      </c>
      <c r="F36" t="n">
        <v>361</v>
      </c>
      <c r="G36" t="n">
        <v>279</v>
      </c>
      <c r="H36" t="n">
        <v>177</v>
      </c>
      <c r="I36" t="n">
        <v>877</v>
      </c>
      <c r="J36" t="n">
        <v>2268</v>
      </c>
      <c r="K36" t="n">
        <v>5148</v>
      </c>
      <c r="L36" t="n">
        <v>5</v>
      </c>
      <c r="M36" t="n">
        <v>0</v>
      </c>
      <c r="N36" t="n">
        <v>0</v>
      </c>
      <c r="O36" s="6" t="n">
        <v>10220</v>
      </c>
      <c r="P36">
        <f>SUM(C36:H36)</f>
        <v/>
      </c>
      <c r="Q36">
        <f>I36</f>
        <v/>
      </c>
      <c r="R36">
        <f>J36</f>
        <v/>
      </c>
      <c r="S36">
        <f>SUM(K36:N36)</f>
        <v/>
      </c>
      <c r="T36">
        <f>SUM(P36:S36)</f>
        <v/>
      </c>
      <c r="U36" s="3">
        <f>IF(T36=0,"",P36/T36)</f>
        <v/>
      </c>
      <c r="V36" s="3">
        <f>IF(T36=0,"",Q36/T36)</f>
        <v/>
      </c>
      <c r="W36" s="3">
        <f>IF(T36=0,"",R36/T36)</f>
        <v/>
      </c>
      <c r="X36" s="3">
        <f>IF(T36=0,"",S36/T36)</f>
        <v/>
      </c>
      <c r="Y36" s="4">
        <f>IF(T36=0,"",U36*Pesos!$B$2+V36*Pesos!$B$3+W36*Pesos!$B$4+X36*Pesos!$B$5)</f>
        <v/>
      </c>
    </row>
    <row r="37">
      <c r="A37" s="2" t="n">
        <v>35</v>
      </c>
      <c r="B37" t="n">
        <v>8</v>
      </c>
      <c r="C37" t="n">
        <v>493</v>
      </c>
      <c r="D37" t="n">
        <v>441</v>
      </c>
      <c r="E37" t="n">
        <v>340</v>
      </c>
      <c r="F37" t="n">
        <v>385</v>
      </c>
      <c r="G37" t="n">
        <v>309</v>
      </c>
      <c r="H37" t="n">
        <v>274</v>
      </c>
      <c r="I37" t="n">
        <v>1029</v>
      </c>
      <c r="J37" t="n">
        <v>2399</v>
      </c>
      <c r="K37" t="n">
        <v>6085</v>
      </c>
      <c r="L37" t="n">
        <v>802</v>
      </c>
      <c r="M37" t="n">
        <v>3</v>
      </c>
      <c r="N37" t="n">
        <v>0</v>
      </c>
      <c r="O37" s="6" t="n">
        <v>12560</v>
      </c>
      <c r="P37">
        <f>SUM(C37:H37)</f>
        <v/>
      </c>
      <c r="Q37">
        <f>I37</f>
        <v/>
      </c>
      <c r="R37">
        <f>J37</f>
        <v/>
      </c>
      <c r="S37">
        <f>SUM(K37:N37)</f>
        <v/>
      </c>
      <c r="T37">
        <f>SUM(P37:S37)</f>
        <v/>
      </c>
      <c r="U37" s="3">
        <f>IF(T37=0,"",P37/T37)</f>
        <v/>
      </c>
      <c r="V37" s="3">
        <f>IF(T37=0,"",Q37/T37)</f>
        <v/>
      </c>
      <c r="W37" s="3">
        <f>IF(T37=0,"",R37/T37)</f>
        <v/>
      </c>
      <c r="X37" s="3">
        <f>IF(T37=0,"",S37/T37)</f>
        <v/>
      </c>
      <c r="Y37" s="4">
        <f>IF(T37=0,"",U37*Pesos!$B$2+V37*Pesos!$B$3+W37*Pesos!$B$4+X37*Pesos!$B$5)</f>
        <v/>
      </c>
    </row>
    <row r="38">
      <c r="A38" s="2" t="n">
        <v>36</v>
      </c>
      <c r="B38" t="n">
        <v>8</v>
      </c>
      <c r="C38" t="n">
        <v>303</v>
      </c>
      <c r="D38" t="n">
        <v>367</v>
      </c>
      <c r="E38" t="n">
        <v>323</v>
      </c>
      <c r="F38" t="n">
        <v>310</v>
      </c>
      <c r="G38" t="n">
        <v>310</v>
      </c>
      <c r="H38" t="n">
        <v>193</v>
      </c>
      <c r="I38" t="n">
        <v>922</v>
      </c>
      <c r="J38" t="n">
        <v>2485</v>
      </c>
      <c r="K38" t="n">
        <v>5813</v>
      </c>
      <c r="L38" t="n">
        <v>9</v>
      </c>
      <c r="M38" t="n">
        <v>0</v>
      </c>
      <c r="N38" t="n">
        <v>0</v>
      </c>
      <c r="O38" s="6" t="n">
        <v>11035</v>
      </c>
      <c r="P38">
        <f>SUM(C38:H38)</f>
        <v/>
      </c>
      <c r="Q38">
        <f>I38</f>
        <v/>
      </c>
      <c r="R38">
        <f>J38</f>
        <v/>
      </c>
      <c r="S38">
        <f>SUM(K38:N38)</f>
        <v/>
      </c>
      <c r="T38">
        <f>SUM(P38:S38)</f>
        <v/>
      </c>
      <c r="U38" s="3">
        <f>IF(T38=0,"",P38/T38)</f>
        <v/>
      </c>
      <c r="V38" s="3">
        <f>IF(T38=0,"",Q38/T38)</f>
        <v/>
      </c>
      <c r="W38" s="3">
        <f>IF(T38=0,"",R38/T38)</f>
        <v/>
      </c>
      <c r="X38" s="3">
        <f>IF(T38=0,"",S38/T38)</f>
        <v/>
      </c>
      <c r="Y38" s="4">
        <f>IF(T38=0,"",U38*Pesos!$B$2+V38*Pesos!$B$3+W38*Pesos!$B$4+X38*Pesos!$B$5)</f>
        <v/>
      </c>
    </row>
    <row r="39">
      <c r="A39" s="2" t="n">
        <v>37</v>
      </c>
      <c r="B39" t="n">
        <v>8</v>
      </c>
      <c r="C39" t="n">
        <v>541</v>
      </c>
      <c r="D39" t="n">
        <v>496</v>
      </c>
      <c r="E39" t="n">
        <v>498</v>
      </c>
      <c r="F39" t="n">
        <v>394</v>
      </c>
      <c r="G39" t="n">
        <v>421</v>
      </c>
      <c r="H39" t="n">
        <v>275</v>
      </c>
      <c r="I39" t="n">
        <v>1281</v>
      </c>
      <c r="J39" t="n">
        <v>2724</v>
      </c>
      <c r="K39" t="n">
        <v>4313</v>
      </c>
      <c r="L39" t="n">
        <v>1417</v>
      </c>
      <c r="M39" t="n">
        <v>0</v>
      </c>
      <c r="N39" t="n">
        <v>0</v>
      </c>
      <c r="O39" s="6" t="n">
        <v>12360</v>
      </c>
      <c r="P39">
        <f>SUM(C39:H39)</f>
        <v/>
      </c>
      <c r="Q39">
        <f>I39</f>
        <v/>
      </c>
      <c r="R39">
        <f>J39</f>
        <v/>
      </c>
      <c r="S39">
        <f>SUM(K39:N39)</f>
        <v/>
      </c>
      <c r="T39">
        <f>SUM(P39:S39)</f>
        <v/>
      </c>
      <c r="U39" s="3">
        <f>IF(T39=0,"",P39/T39)</f>
        <v/>
      </c>
      <c r="V39" s="3">
        <f>IF(T39=0,"",Q39/T39)</f>
        <v/>
      </c>
      <c r="W39" s="3">
        <f>IF(T39=0,"",R39/T39)</f>
        <v/>
      </c>
      <c r="X39" s="3">
        <f>IF(T39=0,"",S39/T39)</f>
        <v/>
      </c>
      <c r="Y39" s="4">
        <f>IF(T39=0,"",U39*Pesos!$B$2+V39*Pesos!$B$3+W39*Pesos!$B$4+X39*Pesos!$B$5)</f>
        <v/>
      </c>
    </row>
    <row r="40">
      <c r="A40" s="2" t="n">
        <v>38</v>
      </c>
      <c r="B40" t="n">
        <v>7</v>
      </c>
      <c r="C40" t="n">
        <v>893</v>
      </c>
      <c r="D40" t="n">
        <v>670</v>
      </c>
      <c r="E40" t="n">
        <v>756</v>
      </c>
      <c r="F40" t="n">
        <v>715</v>
      </c>
      <c r="G40" t="n">
        <v>517</v>
      </c>
      <c r="H40" t="n">
        <v>369</v>
      </c>
      <c r="I40" t="n">
        <v>1642</v>
      </c>
      <c r="J40" t="n">
        <v>2222</v>
      </c>
      <c r="K40" t="n">
        <v>1216</v>
      </c>
      <c r="L40" t="n">
        <v>347</v>
      </c>
      <c r="M40" t="n">
        <v>424</v>
      </c>
      <c r="N40" t="n">
        <v>119</v>
      </c>
      <c r="O40" s="6" t="n">
        <v>9890</v>
      </c>
      <c r="P40">
        <f>SUM(C40:H40)</f>
        <v/>
      </c>
      <c r="Q40">
        <f>I40</f>
        <v/>
      </c>
      <c r="R40">
        <f>J40</f>
        <v/>
      </c>
      <c r="S40">
        <f>SUM(K40:N40)</f>
        <v/>
      </c>
      <c r="T40">
        <f>SUM(P40:S40)</f>
        <v/>
      </c>
      <c r="U40" s="3">
        <f>IF(T40=0,"",P40/T40)</f>
        <v/>
      </c>
      <c r="V40" s="3">
        <f>IF(T40=0,"",Q40/T40)</f>
        <v/>
      </c>
      <c r="W40" s="3">
        <f>IF(T40=0,"",R40/T40)</f>
        <v/>
      </c>
      <c r="X40" s="3">
        <f>IF(T40=0,"",S40/T40)</f>
        <v/>
      </c>
      <c r="Y40" s="4">
        <f>IF(T40=0,"",U40*Pesos!$B$2+V40*Pesos!$B$3+W40*Pesos!$B$4+X40*Pesos!$B$5)</f>
        <v/>
      </c>
    </row>
    <row r="41">
      <c r="A41" s="2" t="n">
        <v>39</v>
      </c>
      <c r="B41" t="n">
        <v>12</v>
      </c>
      <c r="C41" t="n">
        <v>2298</v>
      </c>
      <c r="D41" t="n">
        <v>2317</v>
      </c>
      <c r="E41" t="n">
        <v>2578</v>
      </c>
      <c r="F41" t="n">
        <v>1972</v>
      </c>
      <c r="G41" t="n">
        <v>1461</v>
      </c>
      <c r="H41" t="n">
        <v>1374</v>
      </c>
      <c r="I41" t="n">
        <v>4258</v>
      </c>
      <c r="J41" t="n">
        <v>4501</v>
      </c>
      <c r="K41" t="n">
        <v>2204</v>
      </c>
      <c r="L41" t="n">
        <v>733</v>
      </c>
      <c r="M41" t="n">
        <v>315</v>
      </c>
      <c r="N41" t="n">
        <v>61</v>
      </c>
      <c r="O41" s="6" t="n">
        <v>24072</v>
      </c>
      <c r="P41">
        <f>SUM(C41:H41)</f>
        <v/>
      </c>
      <c r="Q41">
        <f>I41</f>
        <v/>
      </c>
      <c r="R41">
        <f>J41</f>
        <v/>
      </c>
      <c r="S41">
        <f>SUM(K41:N41)</f>
        <v/>
      </c>
      <c r="T41">
        <f>SUM(P41:S41)</f>
        <v/>
      </c>
      <c r="U41" s="3">
        <f>IF(T41=0,"",P41/T41)</f>
        <v/>
      </c>
      <c r="V41" s="3">
        <f>IF(T41=0,"",Q41/T41)</f>
        <v/>
      </c>
      <c r="W41" s="3">
        <f>IF(T41=0,"",R41/T41)</f>
        <v/>
      </c>
      <c r="X41" s="3">
        <f>IF(T41=0,"",S41/T41)</f>
        <v/>
      </c>
      <c r="Y41" s="4">
        <f>IF(T41=0,"",U41*Pesos!$B$2+V41*Pesos!$B$3+W41*Pesos!$B$4+X41*Pesos!$B$5)</f>
        <v/>
      </c>
    </row>
    <row r="42">
      <c r="A42" s="2" t="n">
        <v>40</v>
      </c>
      <c r="B42" t="n">
        <v>8</v>
      </c>
      <c r="C42" t="n">
        <v>700</v>
      </c>
      <c r="D42" t="n">
        <v>551</v>
      </c>
      <c r="E42" t="n">
        <v>759</v>
      </c>
      <c r="F42" t="n">
        <v>530</v>
      </c>
      <c r="G42" t="n">
        <v>422</v>
      </c>
      <c r="H42" t="n">
        <v>350</v>
      </c>
      <c r="I42" t="n">
        <v>1084</v>
      </c>
      <c r="J42" t="n">
        <v>672</v>
      </c>
      <c r="K42" t="n">
        <v>362</v>
      </c>
      <c r="L42" t="n">
        <v>172</v>
      </c>
      <c r="M42" t="n">
        <v>145</v>
      </c>
      <c r="N42" t="n">
        <v>69</v>
      </c>
      <c r="O42" s="6" t="n">
        <v>5816</v>
      </c>
      <c r="P42">
        <f>SUM(C42:H42)</f>
        <v/>
      </c>
      <c r="Q42">
        <f>I42</f>
        <v/>
      </c>
      <c r="R42">
        <f>J42</f>
        <v/>
      </c>
      <c r="S42">
        <f>SUM(K42:N42)</f>
        <v/>
      </c>
      <c r="T42">
        <f>SUM(P42:S42)</f>
        <v/>
      </c>
      <c r="U42" s="3">
        <f>IF(T42=0,"",P42/T42)</f>
        <v/>
      </c>
      <c r="V42" s="3">
        <f>IF(T42=0,"",Q42/T42)</f>
        <v/>
      </c>
      <c r="W42" s="3">
        <f>IF(T42=0,"",R42/T42)</f>
        <v/>
      </c>
      <c r="X42" s="3">
        <f>IF(T42=0,"",S42/T42)</f>
        <v/>
      </c>
      <c r="Y42" s="4">
        <f>IF(T42=0,"",U42*Pesos!$B$2+V42*Pesos!$B$3+W42*Pesos!$B$4+X42*Pesos!$B$5)</f>
        <v/>
      </c>
    </row>
    <row r="43">
      <c r="A43" s="2" t="n">
        <v>41</v>
      </c>
      <c r="B43" t="n">
        <v>6</v>
      </c>
      <c r="C43" t="n">
        <v>826</v>
      </c>
      <c r="D43" t="n">
        <v>777</v>
      </c>
      <c r="E43" t="n">
        <v>770</v>
      </c>
      <c r="F43" t="n">
        <v>704</v>
      </c>
      <c r="G43" t="n">
        <v>578</v>
      </c>
      <c r="H43" t="n">
        <v>538</v>
      </c>
      <c r="I43" t="n">
        <v>1331</v>
      </c>
      <c r="J43" t="n">
        <v>1328</v>
      </c>
      <c r="K43" t="n">
        <v>686</v>
      </c>
      <c r="L43" t="n">
        <v>297</v>
      </c>
      <c r="M43" t="n">
        <v>196</v>
      </c>
      <c r="N43" t="n">
        <v>134</v>
      </c>
      <c r="O43" s="6" t="n">
        <v>8165</v>
      </c>
      <c r="P43">
        <f>SUM(C43:H43)</f>
        <v/>
      </c>
      <c r="Q43">
        <f>I43</f>
        <v/>
      </c>
      <c r="R43">
        <f>J43</f>
        <v/>
      </c>
      <c r="S43">
        <f>SUM(K43:N43)</f>
        <v/>
      </c>
      <c r="T43">
        <f>SUM(P43:S43)</f>
        <v/>
      </c>
      <c r="U43" s="3">
        <f>IF(T43=0,"",P43/T43)</f>
        <v/>
      </c>
      <c r="V43" s="3">
        <f>IF(T43=0,"",Q43/T43)</f>
        <v/>
      </c>
      <c r="W43" s="3">
        <f>IF(T43=0,"",R43/T43)</f>
        <v/>
      </c>
      <c r="X43" s="3">
        <f>IF(T43=0,"",S43/T43)</f>
        <v/>
      </c>
      <c r="Y43" s="4">
        <f>IF(T43=0,"",U43*Pesos!$B$2+V43*Pesos!$B$3+W43*Pesos!$B$4+X43*Pesos!$B$5)</f>
        <v/>
      </c>
    </row>
    <row r="44">
      <c r="A44" s="2" t="n">
        <v>42</v>
      </c>
      <c r="B44" t="n">
        <v>4</v>
      </c>
      <c r="C44" t="n">
        <v>428</v>
      </c>
      <c r="D44" t="n">
        <v>335</v>
      </c>
      <c r="E44" t="n">
        <v>422</v>
      </c>
      <c r="F44" t="n">
        <v>295</v>
      </c>
      <c r="G44" t="n">
        <v>290</v>
      </c>
      <c r="H44" t="n">
        <v>252</v>
      </c>
      <c r="I44" t="n">
        <v>1307</v>
      </c>
      <c r="J44" t="n">
        <v>1035</v>
      </c>
      <c r="K44" t="n">
        <v>1539</v>
      </c>
      <c r="L44" t="n">
        <v>777</v>
      </c>
      <c r="M44" t="n">
        <v>224</v>
      </c>
      <c r="N44" t="n">
        <v>0</v>
      </c>
      <c r="O44" s="6" t="n">
        <v>6904</v>
      </c>
      <c r="P44">
        <f>SUM(C44:H44)</f>
        <v/>
      </c>
      <c r="Q44">
        <f>I44</f>
        <v/>
      </c>
      <c r="R44">
        <f>J44</f>
        <v/>
      </c>
      <c r="S44">
        <f>SUM(K44:N44)</f>
        <v/>
      </c>
      <c r="T44">
        <f>SUM(P44:S44)</f>
        <v/>
      </c>
      <c r="U44" s="3">
        <f>IF(T44=0,"",P44/T44)</f>
        <v/>
      </c>
      <c r="V44" s="3">
        <f>IF(T44=0,"",Q44/T44)</f>
        <v/>
      </c>
      <c r="W44" s="3">
        <f>IF(T44=0,"",R44/T44)</f>
        <v/>
      </c>
      <c r="X44" s="3">
        <f>IF(T44=0,"",S44/T44)</f>
        <v/>
      </c>
      <c r="Y44" s="4">
        <f>IF(T44=0,"",U44*Pesos!$B$2+V44*Pesos!$B$3+W44*Pesos!$B$4+X44*Pesos!$B$5)</f>
        <v/>
      </c>
    </row>
    <row r="45">
      <c r="A45" s="2" t="n">
        <v>43</v>
      </c>
      <c r="B45" t="n">
        <v>6</v>
      </c>
      <c r="C45" t="n">
        <v>714</v>
      </c>
      <c r="D45" t="n">
        <v>594</v>
      </c>
      <c r="E45" t="n">
        <v>844</v>
      </c>
      <c r="F45" t="n">
        <v>775</v>
      </c>
      <c r="G45" t="n">
        <v>519</v>
      </c>
      <c r="H45" t="n">
        <v>456</v>
      </c>
      <c r="I45" t="n">
        <v>899</v>
      </c>
      <c r="J45" t="n">
        <v>1541</v>
      </c>
      <c r="K45" t="n">
        <v>3465</v>
      </c>
      <c r="L45" t="n">
        <v>69</v>
      </c>
      <c r="M45" t="n">
        <v>154</v>
      </c>
      <c r="N45" t="n">
        <v>2</v>
      </c>
      <c r="O45" s="6" t="n">
        <v>10032</v>
      </c>
      <c r="P45">
        <f>SUM(C45:H45)</f>
        <v/>
      </c>
      <c r="Q45">
        <f>I45</f>
        <v/>
      </c>
      <c r="R45">
        <f>J45</f>
        <v/>
      </c>
      <c r="S45">
        <f>SUM(K45:N45)</f>
        <v/>
      </c>
      <c r="T45">
        <f>SUM(P45:S45)</f>
        <v/>
      </c>
      <c r="U45" s="3">
        <f>IF(T45=0,"",P45/T45)</f>
        <v/>
      </c>
      <c r="V45" s="3">
        <f>IF(T45=0,"",Q45/T45)</f>
        <v/>
      </c>
      <c r="W45" s="3">
        <f>IF(T45=0,"",R45/T45)</f>
        <v/>
      </c>
      <c r="X45" s="3">
        <f>IF(T45=0,"",S45/T45)</f>
        <v/>
      </c>
      <c r="Y45" s="4">
        <f>IF(T45=0,"",U45*Pesos!$B$2+V45*Pesos!$B$3+W45*Pesos!$B$4+X45*Pesos!$B$5)</f>
        <v/>
      </c>
    </row>
    <row r="46">
      <c r="A46" s="2" t="n">
        <v>44</v>
      </c>
      <c r="B46" t="n">
        <v>6</v>
      </c>
      <c r="C46" t="n">
        <v>707</v>
      </c>
      <c r="D46" t="n">
        <v>452</v>
      </c>
      <c r="E46" t="n">
        <v>477</v>
      </c>
      <c r="F46" t="n">
        <v>435</v>
      </c>
      <c r="G46" t="n">
        <v>260</v>
      </c>
      <c r="H46" t="n">
        <v>362</v>
      </c>
      <c r="I46" t="n">
        <v>1375</v>
      </c>
      <c r="J46" t="n">
        <v>1956</v>
      </c>
      <c r="K46" t="n">
        <v>1784</v>
      </c>
      <c r="L46" t="n">
        <v>518</v>
      </c>
      <c r="M46" t="n">
        <v>364</v>
      </c>
      <c r="N46" t="n">
        <v>161</v>
      </c>
      <c r="O46" s="6" t="n">
        <v>8851</v>
      </c>
      <c r="P46">
        <f>SUM(C46:H46)</f>
        <v/>
      </c>
      <c r="Q46">
        <f>I46</f>
        <v/>
      </c>
      <c r="R46">
        <f>J46</f>
        <v/>
      </c>
      <c r="S46">
        <f>SUM(K46:N46)</f>
        <v/>
      </c>
      <c r="T46">
        <f>SUM(P46:S46)</f>
        <v/>
      </c>
      <c r="U46" s="3">
        <f>IF(T46=0,"",P46/T46)</f>
        <v/>
      </c>
      <c r="V46" s="3">
        <f>IF(T46=0,"",Q46/T46)</f>
        <v/>
      </c>
      <c r="W46" s="3">
        <f>IF(T46=0,"",R46/T46)</f>
        <v/>
      </c>
      <c r="X46" s="3">
        <f>IF(T46=0,"",S46/T46)</f>
        <v/>
      </c>
      <c r="Y46" s="4">
        <f>IF(T46=0,"",U46*Pesos!$B$2+V46*Pesos!$B$3+W46*Pesos!$B$4+X46*Pesos!$B$5)</f>
        <v/>
      </c>
    </row>
    <row r="47">
      <c r="A47" s="2" t="n">
        <v>45</v>
      </c>
      <c r="B47" t="n">
        <v>6</v>
      </c>
      <c r="C47" t="n">
        <v>497</v>
      </c>
      <c r="D47" t="n">
        <v>568</v>
      </c>
      <c r="E47" t="n">
        <v>474</v>
      </c>
      <c r="F47" t="n">
        <v>421</v>
      </c>
      <c r="G47" t="n">
        <v>257</v>
      </c>
      <c r="H47" t="n">
        <v>284</v>
      </c>
      <c r="I47" t="n">
        <v>1076</v>
      </c>
      <c r="J47" t="n">
        <v>2517</v>
      </c>
      <c r="K47" t="n">
        <v>2695</v>
      </c>
      <c r="L47" t="n">
        <v>436</v>
      </c>
      <c r="M47" t="n">
        <v>40</v>
      </c>
      <c r="N47" t="n">
        <v>5</v>
      </c>
      <c r="O47" s="6" t="n">
        <v>9270</v>
      </c>
      <c r="P47">
        <f>SUM(C47:H47)</f>
        <v/>
      </c>
      <c r="Q47">
        <f>I47</f>
        <v/>
      </c>
      <c r="R47">
        <f>J47</f>
        <v/>
      </c>
      <c r="S47">
        <f>SUM(K47:N47)</f>
        <v/>
      </c>
      <c r="T47">
        <f>SUM(P47:S47)</f>
        <v/>
      </c>
      <c r="U47" s="3">
        <f>IF(T47=0,"",P47/T47)</f>
        <v/>
      </c>
      <c r="V47" s="3">
        <f>IF(T47=0,"",Q47/T47)</f>
        <v/>
      </c>
      <c r="W47" s="3">
        <f>IF(T47=0,"",R47/T47)</f>
        <v/>
      </c>
      <c r="X47" s="3">
        <f>IF(T47=0,"",S47/T47)</f>
        <v/>
      </c>
      <c r="Y47" s="4">
        <f>IF(T47=0,"",U47*Pesos!$B$2+V47*Pesos!$B$3+W47*Pesos!$B$4+X47*Pesos!$B$5)</f>
        <v/>
      </c>
    </row>
    <row r="48">
      <c r="A48" s="2" t="n">
        <v>46</v>
      </c>
      <c r="B48" t="n">
        <v>6</v>
      </c>
      <c r="C48" t="n">
        <v>1167</v>
      </c>
      <c r="D48" t="n">
        <v>838</v>
      </c>
      <c r="E48" t="n">
        <v>904</v>
      </c>
      <c r="F48" t="n">
        <v>657</v>
      </c>
      <c r="G48" t="n">
        <v>887</v>
      </c>
      <c r="H48" t="n">
        <v>629</v>
      </c>
      <c r="I48" t="n">
        <v>1335</v>
      </c>
      <c r="J48" t="n">
        <v>1845</v>
      </c>
      <c r="K48" t="n">
        <v>1996</v>
      </c>
      <c r="L48" t="n">
        <v>702</v>
      </c>
      <c r="M48" t="n">
        <v>177</v>
      </c>
      <c r="N48" t="n">
        <v>32</v>
      </c>
      <c r="O48" s="6" t="n">
        <v>11169</v>
      </c>
      <c r="P48">
        <f>SUM(C48:H48)</f>
        <v/>
      </c>
      <c r="Q48">
        <f>I48</f>
        <v/>
      </c>
      <c r="R48">
        <f>J48</f>
        <v/>
      </c>
      <c r="S48">
        <f>SUM(K48:N48)</f>
        <v/>
      </c>
      <c r="T48">
        <f>SUM(P48:S48)</f>
        <v/>
      </c>
      <c r="U48" s="3">
        <f>IF(T48=0,"",P48/T48)</f>
        <v/>
      </c>
      <c r="V48" s="3">
        <f>IF(T48=0,"",Q48/T48)</f>
        <v/>
      </c>
      <c r="W48" s="3">
        <f>IF(T48=0,"",R48/T48)</f>
        <v/>
      </c>
      <c r="X48" s="3">
        <f>IF(T48=0,"",S48/T48)</f>
        <v/>
      </c>
      <c r="Y48" s="4">
        <f>IF(T48=0,"",U48*Pesos!$B$2+V48*Pesos!$B$3+W48*Pesos!$B$4+X48*Pesos!$B$5)</f>
        <v/>
      </c>
    </row>
    <row r="49">
      <c r="A49" s="2" t="n">
        <v>47</v>
      </c>
      <c r="B49" t="n">
        <v>2</v>
      </c>
      <c r="C49" t="n">
        <v>908</v>
      </c>
      <c r="D49" t="n">
        <v>1019</v>
      </c>
      <c r="E49" t="n">
        <v>662</v>
      </c>
      <c r="F49" t="n">
        <v>621</v>
      </c>
      <c r="G49" t="n">
        <v>260</v>
      </c>
      <c r="H49" t="n">
        <v>291</v>
      </c>
      <c r="I49" t="n">
        <v>1161</v>
      </c>
      <c r="J49" t="n">
        <v>544</v>
      </c>
      <c r="K49" t="n">
        <v>36</v>
      </c>
      <c r="L49" t="n">
        <v>6</v>
      </c>
      <c r="M49" t="n">
        <v>0</v>
      </c>
      <c r="N49" t="n">
        <v>1</v>
      </c>
      <c r="O49" s="6" t="n">
        <v>5509</v>
      </c>
      <c r="P49">
        <f>SUM(C49:H49)</f>
        <v/>
      </c>
      <c r="Q49">
        <f>I49</f>
        <v/>
      </c>
      <c r="R49">
        <f>J49</f>
        <v/>
      </c>
      <c r="S49">
        <f>SUM(K49:N49)</f>
        <v/>
      </c>
      <c r="T49">
        <f>SUM(P49:S49)</f>
        <v/>
      </c>
      <c r="U49" s="3">
        <f>IF(T49=0,"",P49/T49)</f>
        <v/>
      </c>
      <c r="V49" s="3">
        <f>IF(T49=0,"",Q49/T49)</f>
        <v/>
      </c>
      <c r="W49" s="3">
        <f>IF(T49=0,"",R49/T49)</f>
        <v/>
      </c>
      <c r="X49" s="3">
        <f>IF(T49=0,"",S49/T49)</f>
        <v/>
      </c>
      <c r="Y49" s="4">
        <f>IF(T49=0,"",U49*Pesos!$B$2+V49*Pesos!$B$3+W49*Pesos!$B$4+X49*Pesos!$B$5)</f>
        <v/>
      </c>
    </row>
    <row r="50">
      <c r="A50" s="2" t="n">
        <v>48</v>
      </c>
      <c r="B50" t="n">
        <v>8</v>
      </c>
      <c r="C50" t="n">
        <v>103</v>
      </c>
      <c r="D50" t="n">
        <v>97</v>
      </c>
      <c r="E50" t="n">
        <v>77</v>
      </c>
      <c r="F50" t="n">
        <v>67</v>
      </c>
      <c r="G50" t="n">
        <v>67</v>
      </c>
      <c r="H50" t="n">
        <v>60</v>
      </c>
      <c r="I50" t="n">
        <v>167</v>
      </c>
      <c r="J50" t="n">
        <v>184</v>
      </c>
      <c r="K50" t="n">
        <v>135</v>
      </c>
      <c r="L50" t="n">
        <v>87</v>
      </c>
      <c r="M50" t="n">
        <v>58</v>
      </c>
      <c r="N50" t="n">
        <v>23</v>
      </c>
      <c r="O50" s="6" t="n">
        <v>1125</v>
      </c>
      <c r="P50">
        <f>SUM(C50:H50)</f>
        <v/>
      </c>
      <c r="Q50">
        <f>I50</f>
        <v/>
      </c>
      <c r="R50">
        <f>J50</f>
        <v/>
      </c>
      <c r="S50">
        <f>SUM(K50:N50)</f>
        <v/>
      </c>
      <c r="T50">
        <f>SUM(P50:S50)</f>
        <v/>
      </c>
      <c r="U50" s="3">
        <f>IF(T50=0,"",P50/T50)</f>
        <v/>
      </c>
      <c r="V50" s="3">
        <f>IF(T50=0,"",Q50/T50)</f>
        <v/>
      </c>
      <c r="W50" s="3">
        <f>IF(T50=0,"",R50/T50)</f>
        <v/>
      </c>
      <c r="X50" s="3">
        <f>IF(T50=0,"",S50/T50)</f>
        <v/>
      </c>
      <c r="Y50" s="4">
        <f>IF(T50=0,"",U50*Pesos!$B$2+V50*Pesos!$B$3+W50*Pesos!$B$4+X50*Pesos!$B$5)</f>
        <v/>
      </c>
    </row>
    <row r="51">
      <c r="A51" s="2" t="n">
        <v>49</v>
      </c>
      <c r="B51" t="n">
        <v>12</v>
      </c>
      <c r="C51" t="n">
        <v>2402</v>
      </c>
      <c r="D51" t="n">
        <v>2330</v>
      </c>
      <c r="E51" t="n">
        <v>2377</v>
      </c>
      <c r="F51" t="n">
        <v>1709</v>
      </c>
      <c r="G51" t="n">
        <v>1243</v>
      </c>
      <c r="H51" t="n">
        <v>1005</v>
      </c>
      <c r="I51" t="n">
        <v>3152</v>
      </c>
      <c r="J51" t="n">
        <v>2487</v>
      </c>
      <c r="K51" t="n">
        <v>1335</v>
      </c>
      <c r="L51" t="n">
        <v>387</v>
      </c>
      <c r="M51" t="n">
        <v>161</v>
      </c>
      <c r="N51" t="n">
        <v>22</v>
      </c>
      <c r="O51" s="6" t="n">
        <v>18610</v>
      </c>
      <c r="P51">
        <f>SUM(C51:H51)</f>
        <v/>
      </c>
      <c r="Q51">
        <f>I51</f>
        <v/>
      </c>
      <c r="R51">
        <f>J51</f>
        <v/>
      </c>
      <c r="S51">
        <f>SUM(K51:N51)</f>
        <v/>
      </c>
      <c r="T51">
        <f>SUM(P51:S51)</f>
        <v/>
      </c>
      <c r="U51" s="3">
        <f>IF(T51=0,"",P51/T51)</f>
        <v/>
      </c>
      <c r="V51" s="3">
        <f>IF(T51=0,"",Q51/T51)</f>
        <v/>
      </c>
      <c r="W51" s="3">
        <f>IF(T51=0,"",R51/T51)</f>
        <v/>
      </c>
      <c r="X51" s="3">
        <f>IF(T51=0,"",S51/T51)</f>
        <v/>
      </c>
      <c r="Y51" s="4">
        <f>IF(T51=0,"",U51*Pesos!$B$2+V51*Pesos!$B$3+W51*Pesos!$B$4+X51*Pesos!$B$5)</f>
        <v/>
      </c>
    </row>
    <row r="52">
      <c r="A52" s="2" t="n">
        <v>50</v>
      </c>
      <c r="B52" t="n">
        <v>11</v>
      </c>
      <c r="C52" t="n">
        <v>600</v>
      </c>
      <c r="D52" t="n">
        <v>662</v>
      </c>
      <c r="E52" t="n">
        <v>590</v>
      </c>
      <c r="F52" t="n">
        <v>608</v>
      </c>
      <c r="G52" t="n">
        <v>458</v>
      </c>
      <c r="H52" t="n">
        <v>459</v>
      </c>
      <c r="I52" t="n">
        <v>1637</v>
      </c>
      <c r="J52" t="n">
        <v>3130</v>
      </c>
      <c r="K52" t="n">
        <v>2022</v>
      </c>
      <c r="L52" t="n">
        <v>740</v>
      </c>
      <c r="M52" t="n">
        <v>585</v>
      </c>
      <c r="N52" t="n">
        <v>275</v>
      </c>
      <c r="O52" s="6" t="n">
        <v>11766</v>
      </c>
      <c r="P52">
        <f>SUM(C52:H52)</f>
        <v/>
      </c>
      <c r="Q52">
        <f>I52</f>
        <v/>
      </c>
      <c r="R52">
        <f>J52</f>
        <v/>
      </c>
      <c r="S52">
        <f>SUM(K52:N52)</f>
        <v/>
      </c>
      <c r="T52">
        <f>SUM(P52:S52)</f>
        <v/>
      </c>
      <c r="U52" s="3">
        <f>IF(T52=0,"",P52/T52)</f>
        <v/>
      </c>
      <c r="V52" s="3">
        <f>IF(T52=0,"",Q52/T52)</f>
        <v/>
      </c>
      <c r="W52" s="3">
        <f>IF(T52=0,"",R52/T52)</f>
        <v/>
      </c>
      <c r="X52" s="3">
        <f>IF(T52=0,"",S52/T52)</f>
        <v/>
      </c>
      <c r="Y52" s="4">
        <f>IF(T52=0,"",U52*Pesos!$B$2+V52*Pesos!$B$3+W52*Pesos!$B$4+X52*Pesos!$B$5)</f>
        <v/>
      </c>
    </row>
    <row r="53">
      <c r="A53" s="2" t="n">
        <v>51</v>
      </c>
      <c r="B53" t="n">
        <v>7</v>
      </c>
      <c r="C53" t="n">
        <v>1759</v>
      </c>
      <c r="D53" t="n">
        <v>1617</v>
      </c>
      <c r="E53" t="n">
        <v>864</v>
      </c>
      <c r="F53" t="n">
        <v>559</v>
      </c>
      <c r="G53" t="n">
        <v>618</v>
      </c>
      <c r="H53" t="n">
        <v>344</v>
      </c>
      <c r="I53" t="n">
        <v>1075</v>
      </c>
      <c r="J53" t="n">
        <v>3270</v>
      </c>
      <c r="K53" t="n">
        <v>1138</v>
      </c>
      <c r="L53" t="n">
        <v>130</v>
      </c>
      <c r="M53" t="n">
        <v>15</v>
      </c>
      <c r="N53" t="n">
        <v>0</v>
      </c>
      <c r="O53" s="6" t="n">
        <v>11389</v>
      </c>
      <c r="P53">
        <f>SUM(C53:H53)</f>
        <v/>
      </c>
      <c r="Q53">
        <f>I53</f>
        <v/>
      </c>
      <c r="R53">
        <f>J53</f>
        <v/>
      </c>
      <c r="S53">
        <f>SUM(K53:N53)</f>
        <v/>
      </c>
      <c r="T53">
        <f>SUM(P53:S53)</f>
        <v/>
      </c>
      <c r="U53" s="3">
        <f>IF(T53=0,"",P53/T53)</f>
        <v/>
      </c>
      <c r="V53" s="3">
        <f>IF(T53=0,"",Q53/T53)</f>
        <v/>
      </c>
      <c r="W53" s="3">
        <f>IF(T53=0,"",R53/T53)</f>
        <v/>
      </c>
      <c r="X53" s="3">
        <f>IF(T53=0,"",S53/T53)</f>
        <v/>
      </c>
      <c r="Y53" s="4">
        <f>IF(T53=0,"",U53*Pesos!$B$2+V53*Pesos!$B$3+W53*Pesos!$B$4+X53*Pesos!$B$5)</f>
        <v/>
      </c>
    </row>
    <row r="54">
      <c r="A54" s="2" t="n">
        <v>52</v>
      </c>
      <c r="B54" t="n">
        <v>5</v>
      </c>
      <c r="C54" t="n">
        <v>512</v>
      </c>
      <c r="D54" t="n">
        <v>538</v>
      </c>
      <c r="E54" t="n">
        <v>615</v>
      </c>
      <c r="F54" t="n">
        <v>562</v>
      </c>
      <c r="G54" t="n">
        <v>392</v>
      </c>
      <c r="H54" t="n">
        <v>459</v>
      </c>
      <c r="I54" t="n">
        <v>1870</v>
      </c>
      <c r="J54" t="n">
        <v>4441</v>
      </c>
      <c r="K54" t="n">
        <v>668</v>
      </c>
      <c r="L54" t="n">
        <v>34</v>
      </c>
      <c r="M54" t="n">
        <v>0</v>
      </c>
      <c r="N54" t="n">
        <v>0</v>
      </c>
      <c r="O54" s="6" t="n">
        <v>10091</v>
      </c>
      <c r="P54">
        <f>SUM(C54:H54)</f>
        <v/>
      </c>
      <c r="Q54">
        <f>I54</f>
        <v/>
      </c>
      <c r="R54">
        <f>J54</f>
        <v/>
      </c>
      <c r="S54">
        <f>SUM(K54:N54)</f>
        <v/>
      </c>
      <c r="T54">
        <f>SUM(P54:S54)</f>
        <v/>
      </c>
      <c r="U54" s="3">
        <f>IF(T54=0,"",P54/T54)</f>
        <v/>
      </c>
      <c r="V54" s="3">
        <f>IF(T54=0,"",Q54/T54)</f>
        <v/>
      </c>
      <c r="W54" s="3">
        <f>IF(T54=0,"",R54/T54)</f>
        <v/>
      </c>
      <c r="X54" s="3">
        <f>IF(T54=0,"",S54/T54)</f>
        <v/>
      </c>
      <c r="Y54" s="4">
        <f>IF(T54=0,"",U54*Pesos!$B$2+V54*Pesos!$B$3+W54*Pesos!$B$4+X54*Pesos!$B$5)</f>
        <v/>
      </c>
    </row>
    <row r="55">
      <c r="A55" s="2" t="n">
        <v>53</v>
      </c>
      <c r="B55" t="n">
        <v>4</v>
      </c>
      <c r="C55" t="n">
        <v>1925</v>
      </c>
      <c r="D55" t="n">
        <v>2720</v>
      </c>
      <c r="E55" t="n">
        <v>1142</v>
      </c>
      <c r="F55" t="n">
        <v>36</v>
      </c>
      <c r="G55" t="n">
        <v>7</v>
      </c>
      <c r="H55" t="n">
        <v>7</v>
      </c>
      <c r="I55" t="n">
        <v>50</v>
      </c>
      <c r="J55" t="n">
        <v>9</v>
      </c>
      <c r="K55" t="n">
        <v>6</v>
      </c>
      <c r="L55" t="n">
        <v>0</v>
      </c>
      <c r="M55" t="n">
        <v>0</v>
      </c>
      <c r="N55" t="n">
        <v>0</v>
      </c>
      <c r="O55" s="6" t="n">
        <v>5902</v>
      </c>
      <c r="P55">
        <f>SUM(C55:H55)</f>
        <v/>
      </c>
      <c r="Q55">
        <f>I55</f>
        <v/>
      </c>
      <c r="R55">
        <f>J55</f>
        <v/>
      </c>
      <c r="S55">
        <f>SUM(K55:N55)</f>
        <v/>
      </c>
      <c r="T55">
        <f>SUM(P55:S55)</f>
        <v/>
      </c>
      <c r="U55" s="3">
        <f>IF(T55=0,"",P55/T55)</f>
        <v/>
      </c>
      <c r="V55" s="3">
        <f>IF(T55=0,"",Q55/T55)</f>
        <v/>
      </c>
      <c r="W55" s="3">
        <f>IF(T55=0,"",R55/T55)</f>
        <v/>
      </c>
      <c r="X55" s="3">
        <f>IF(T55=0,"",S55/T55)</f>
        <v/>
      </c>
      <c r="Y55" s="4">
        <f>IF(T55=0,"",U55*Pesos!$B$2+V55*Pesos!$B$3+W55*Pesos!$B$4+X55*Pesos!$B$5)</f>
        <v/>
      </c>
    </row>
    <row r="56">
      <c r="A56" s="2" t="n">
        <v>54</v>
      </c>
      <c r="B56" t="n">
        <v>9</v>
      </c>
      <c r="C56" t="n">
        <v>202</v>
      </c>
      <c r="D56" t="n">
        <v>170</v>
      </c>
      <c r="E56" t="n">
        <v>156</v>
      </c>
      <c r="F56" t="n">
        <v>161</v>
      </c>
      <c r="G56" t="n">
        <v>158</v>
      </c>
      <c r="H56" t="n">
        <v>136</v>
      </c>
      <c r="I56" t="n">
        <v>501</v>
      </c>
      <c r="J56" t="n">
        <v>774</v>
      </c>
      <c r="K56" t="n">
        <v>550</v>
      </c>
      <c r="L56" t="n">
        <v>181</v>
      </c>
      <c r="M56" t="n">
        <v>300</v>
      </c>
      <c r="N56" t="n">
        <v>60</v>
      </c>
      <c r="O56" s="6" t="n">
        <v>3349</v>
      </c>
      <c r="P56">
        <f>SUM(C56:H56)</f>
        <v/>
      </c>
      <c r="Q56">
        <f>I56</f>
        <v/>
      </c>
      <c r="R56">
        <f>J56</f>
        <v/>
      </c>
      <c r="S56">
        <f>SUM(K56:N56)</f>
        <v/>
      </c>
      <c r="T56">
        <f>SUM(P56:S56)</f>
        <v/>
      </c>
      <c r="U56" s="3">
        <f>IF(T56=0,"",P56/T56)</f>
        <v/>
      </c>
      <c r="V56" s="3">
        <f>IF(T56=0,"",Q56/T56)</f>
        <v/>
      </c>
      <c r="W56" s="3">
        <f>IF(T56=0,"",R56/T56)</f>
        <v/>
      </c>
      <c r="X56" s="3">
        <f>IF(T56=0,"",S56/T56)</f>
        <v/>
      </c>
      <c r="Y56" s="4">
        <f>IF(T56=0,"",U56*Pesos!$B$2+V56*Pesos!$B$3+W56*Pesos!$B$4+X56*Pesos!$B$5)</f>
        <v/>
      </c>
    </row>
    <row r="57">
      <c r="A57" s="2" t="n">
        <v>55</v>
      </c>
      <c r="B57" t="n">
        <v>4</v>
      </c>
      <c r="C57" t="n">
        <v>1560</v>
      </c>
      <c r="D57" t="n">
        <v>1182</v>
      </c>
      <c r="E57" t="n">
        <v>1287</v>
      </c>
      <c r="F57" t="n">
        <v>976</v>
      </c>
      <c r="G57" t="n">
        <v>588</v>
      </c>
      <c r="H57" t="n">
        <v>596</v>
      </c>
      <c r="I57" t="n">
        <v>1847</v>
      </c>
      <c r="J57" t="n">
        <v>1664</v>
      </c>
      <c r="K57" t="n">
        <v>329</v>
      </c>
      <c r="L57" t="n">
        <v>108</v>
      </c>
      <c r="M57" t="n">
        <v>86</v>
      </c>
      <c r="N57" t="n">
        <v>8</v>
      </c>
      <c r="O57" s="6" t="n">
        <v>10231</v>
      </c>
      <c r="P57">
        <f>SUM(C57:H57)</f>
        <v/>
      </c>
      <c r="Q57">
        <f>I57</f>
        <v/>
      </c>
      <c r="R57">
        <f>J57</f>
        <v/>
      </c>
      <c r="S57">
        <f>SUM(K57:N57)</f>
        <v/>
      </c>
      <c r="T57">
        <f>SUM(P57:S57)</f>
        <v/>
      </c>
      <c r="U57" s="3">
        <f>IF(T57=0,"",P57/T57)</f>
        <v/>
      </c>
      <c r="V57" s="3">
        <f>IF(T57=0,"",Q57/T57)</f>
        <v/>
      </c>
      <c r="W57" s="3">
        <f>IF(T57=0,"",R57/T57)</f>
        <v/>
      </c>
      <c r="X57" s="3">
        <f>IF(T57=0,"",S57/T57)</f>
        <v/>
      </c>
      <c r="Y57" s="4">
        <f>IF(T57=0,"",U57*Pesos!$B$2+V57*Pesos!$B$3+W57*Pesos!$B$4+X57*Pesos!$B$5)</f>
        <v/>
      </c>
    </row>
    <row r="58">
      <c r="A58" s="2" t="n">
        <v>56</v>
      </c>
      <c r="B58" t="n">
        <v>7</v>
      </c>
      <c r="C58" t="n">
        <v>402</v>
      </c>
      <c r="D58" t="n">
        <v>446</v>
      </c>
      <c r="E58" t="n">
        <v>372</v>
      </c>
      <c r="F58" t="n">
        <v>289</v>
      </c>
      <c r="G58" t="n">
        <v>252</v>
      </c>
      <c r="H58" t="n">
        <v>190</v>
      </c>
      <c r="I58" t="n">
        <v>717</v>
      </c>
      <c r="J58" t="n">
        <v>1297</v>
      </c>
      <c r="K58" t="n">
        <v>868</v>
      </c>
      <c r="L58" t="n">
        <v>248</v>
      </c>
      <c r="M58" t="n">
        <v>151</v>
      </c>
      <c r="N58" t="n">
        <v>44</v>
      </c>
      <c r="O58" s="6" t="n">
        <v>5276</v>
      </c>
      <c r="P58">
        <f>SUM(C58:H58)</f>
        <v/>
      </c>
      <c r="Q58">
        <f>I58</f>
        <v/>
      </c>
      <c r="R58">
        <f>J58</f>
        <v/>
      </c>
      <c r="S58">
        <f>SUM(K58:N58)</f>
        <v/>
      </c>
      <c r="T58">
        <f>SUM(P58:S58)</f>
        <v/>
      </c>
      <c r="U58" s="3">
        <f>IF(T58=0,"",P58/T58)</f>
        <v/>
      </c>
      <c r="V58" s="3">
        <f>IF(T58=0,"",Q58/T58)</f>
        <v/>
      </c>
      <c r="W58" s="3">
        <f>IF(T58=0,"",R58/T58)</f>
        <v/>
      </c>
      <c r="X58" s="3">
        <f>IF(T58=0,"",S58/T58)</f>
        <v/>
      </c>
      <c r="Y58" s="4">
        <f>IF(T58=0,"",U58*Pesos!$B$2+V58*Pesos!$B$3+W58*Pesos!$B$4+X58*Pesos!$B$5)</f>
        <v/>
      </c>
    </row>
    <row r="59">
      <c r="A59" s="2" t="n">
        <v>57</v>
      </c>
      <c r="B59" t="n">
        <v>7</v>
      </c>
      <c r="C59" t="n">
        <v>519</v>
      </c>
      <c r="D59" t="n">
        <v>471</v>
      </c>
      <c r="E59" t="n">
        <v>551</v>
      </c>
      <c r="F59" t="n">
        <v>404</v>
      </c>
      <c r="G59" t="n">
        <v>340</v>
      </c>
      <c r="H59" t="n">
        <v>302</v>
      </c>
      <c r="I59" t="n">
        <v>1013</v>
      </c>
      <c r="J59" t="n">
        <v>1420</v>
      </c>
      <c r="K59" t="n">
        <v>893</v>
      </c>
      <c r="L59" t="n">
        <v>295</v>
      </c>
      <c r="M59" t="n">
        <v>208</v>
      </c>
      <c r="N59" t="n">
        <v>55</v>
      </c>
      <c r="O59" s="6" t="n">
        <v>6471</v>
      </c>
      <c r="P59">
        <f>SUM(C59:H59)</f>
        <v/>
      </c>
      <c r="Q59">
        <f>I59</f>
        <v/>
      </c>
      <c r="R59">
        <f>J59</f>
        <v/>
      </c>
      <c r="S59">
        <f>SUM(K59:N59)</f>
        <v/>
      </c>
      <c r="T59">
        <f>SUM(P59:S59)</f>
        <v/>
      </c>
      <c r="U59" s="3">
        <f>IF(T59=0,"",P59/T59)</f>
        <v/>
      </c>
      <c r="V59" s="3">
        <f>IF(T59=0,"",Q59/T59)</f>
        <v/>
      </c>
      <c r="W59" s="3">
        <f>IF(T59=0,"",R59/T59)</f>
        <v/>
      </c>
      <c r="X59" s="3">
        <f>IF(T59=0,"",S59/T59)</f>
        <v/>
      </c>
      <c r="Y59" s="4">
        <f>IF(T59=0,"",U59*Pesos!$B$2+V59*Pesos!$B$3+W59*Pesos!$B$4+X59*Pesos!$B$5)</f>
        <v/>
      </c>
    </row>
    <row r="60">
      <c r="A60" s="2" t="n">
        <v>58</v>
      </c>
      <c r="B60" t="n">
        <v>6</v>
      </c>
      <c r="C60" t="n">
        <v>2969</v>
      </c>
      <c r="D60" t="n">
        <v>1592</v>
      </c>
      <c r="E60" t="n">
        <v>1721</v>
      </c>
      <c r="F60" t="n">
        <v>1977</v>
      </c>
      <c r="G60" t="n">
        <v>1334</v>
      </c>
      <c r="H60" t="n">
        <v>1089</v>
      </c>
      <c r="I60" t="n">
        <v>2170</v>
      </c>
      <c r="J60" t="n">
        <v>1943</v>
      </c>
      <c r="K60" t="n">
        <v>790</v>
      </c>
      <c r="L60" t="n">
        <v>296</v>
      </c>
      <c r="M60" t="n">
        <v>152</v>
      </c>
      <c r="N60" t="n">
        <v>42</v>
      </c>
      <c r="O60" s="6" t="n">
        <v>16075</v>
      </c>
      <c r="P60">
        <f>SUM(C60:H60)</f>
        <v/>
      </c>
      <c r="Q60">
        <f>I60</f>
        <v/>
      </c>
      <c r="R60">
        <f>J60</f>
        <v/>
      </c>
      <c r="S60">
        <f>SUM(K60:N60)</f>
        <v/>
      </c>
      <c r="T60">
        <f>SUM(P60:S60)</f>
        <v/>
      </c>
      <c r="U60" s="3">
        <f>IF(T60=0,"",P60/T60)</f>
        <v/>
      </c>
      <c r="V60" s="3">
        <f>IF(T60=0,"",Q60/T60)</f>
        <v/>
      </c>
      <c r="W60" s="3">
        <f>IF(T60=0,"",R60/T60)</f>
        <v/>
      </c>
      <c r="X60" s="3">
        <f>IF(T60=0,"",S60/T60)</f>
        <v/>
      </c>
      <c r="Y60" s="4">
        <f>IF(T60=0,"",U60*Pesos!$B$2+V60*Pesos!$B$3+W60*Pesos!$B$4+X60*Pesos!$B$5)</f>
        <v/>
      </c>
    </row>
    <row r="61">
      <c r="A61" s="2" t="n">
        <v>59</v>
      </c>
      <c r="B61" t="n">
        <v>8</v>
      </c>
      <c r="C61" t="n">
        <v>1691</v>
      </c>
      <c r="D61" t="n">
        <v>1395</v>
      </c>
      <c r="E61" t="n">
        <v>777</v>
      </c>
      <c r="F61" t="n">
        <v>957</v>
      </c>
      <c r="G61" t="n">
        <v>662</v>
      </c>
      <c r="H61" t="n">
        <v>457</v>
      </c>
      <c r="I61" t="n">
        <v>2112</v>
      </c>
      <c r="J61" t="n">
        <v>2527</v>
      </c>
      <c r="K61" t="n">
        <v>1856</v>
      </c>
      <c r="L61" t="n">
        <v>809</v>
      </c>
      <c r="M61" t="n">
        <v>372</v>
      </c>
      <c r="N61" t="n">
        <v>59</v>
      </c>
      <c r="O61" s="6" t="n">
        <v>13674</v>
      </c>
      <c r="P61">
        <f>SUM(C61:H61)</f>
        <v/>
      </c>
      <c r="Q61">
        <f>I61</f>
        <v/>
      </c>
      <c r="R61">
        <f>J61</f>
        <v/>
      </c>
      <c r="S61">
        <f>SUM(K61:N61)</f>
        <v/>
      </c>
      <c r="T61">
        <f>SUM(P61:S61)</f>
        <v/>
      </c>
      <c r="U61" s="3">
        <f>IF(T61=0,"",P61/T61)</f>
        <v/>
      </c>
      <c r="V61" s="3">
        <f>IF(T61=0,"",Q61/T61)</f>
        <v/>
      </c>
      <c r="W61" s="3">
        <f>IF(T61=0,"",R61/T61)</f>
        <v/>
      </c>
      <c r="X61" s="3">
        <f>IF(T61=0,"",S61/T61)</f>
        <v/>
      </c>
      <c r="Y61" s="4">
        <f>IF(T61=0,"",U61*Pesos!$B$2+V61*Pesos!$B$3+W61*Pesos!$B$4+X61*Pesos!$B$5)</f>
        <v/>
      </c>
    </row>
    <row r="62">
      <c r="A62" s="2" t="n">
        <v>60</v>
      </c>
      <c r="B62" t="n">
        <v>7</v>
      </c>
      <c r="C62" t="n">
        <v>1552</v>
      </c>
      <c r="D62" t="n">
        <v>1667</v>
      </c>
      <c r="E62" t="n">
        <v>1730</v>
      </c>
      <c r="F62" t="n">
        <v>1464</v>
      </c>
      <c r="G62" t="n">
        <v>1356</v>
      </c>
      <c r="H62" t="n">
        <v>1033</v>
      </c>
      <c r="I62" t="n">
        <v>3525</v>
      </c>
      <c r="J62" t="n">
        <v>4748</v>
      </c>
      <c r="K62" t="n">
        <v>1857</v>
      </c>
      <c r="L62" t="n">
        <v>206</v>
      </c>
      <c r="M62" t="n">
        <v>73</v>
      </c>
      <c r="N62" t="n">
        <v>24</v>
      </c>
      <c r="O62" s="6" t="n">
        <v>19235</v>
      </c>
      <c r="P62">
        <f>SUM(C62:H62)</f>
        <v/>
      </c>
      <c r="Q62">
        <f>I62</f>
        <v/>
      </c>
      <c r="R62">
        <f>J62</f>
        <v/>
      </c>
      <c r="S62">
        <f>SUM(K62:N62)</f>
        <v/>
      </c>
      <c r="T62">
        <f>SUM(P62:S62)</f>
        <v/>
      </c>
      <c r="U62" s="3">
        <f>IF(T62=0,"",P62/T62)</f>
        <v/>
      </c>
      <c r="V62" s="3">
        <f>IF(T62=0,"",Q62/T62)</f>
        <v/>
      </c>
      <c r="W62" s="3">
        <f>IF(T62=0,"",R62/T62)</f>
        <v/>
      </c>
      <c r="X62" s="3">
        <f>IF(T62=0,"",S62/T62)</f>
        <v/>
      </c>
      <c r="Y62" s="4">
        <f>IF(T62=0,"",U62*Pesos!$B$2+V62*Pesos!$B$3+W62*Pesos!$B$4+X62*Pesos!$B$5)</f>
        <v/>
      </c>
    </row>
    <row r="63">
      <c r="A63" s="2" t="n">
        <v>61</v>
      </c>
      <c r="B63" t="n">
        <v>8</v>
      </c>
      <c r="C63" t="n">
        <v>981</v>
      </c>
      <c r="D63" t="n">
        <v>870</v>
      </c>
      <c r="E63" t="n">
        <v>1046</v>
      </c>
      <c r="F63" t="n">
        <v>597</v>
      </c>
      <c r="G63" t="n">
        <v>498</v>
      </c>
      <c r="H63" t="n">
        <v>446</v>
      </c>
      <c r="I63" t="n">
        <v>1513</v>
      </c>
      <c r="J63" t="n">
        <v>2088</v>
      </c>
      <c r="K63" t="n">
        <v>1416</v>
      </c>
      <c r="L63" t="n">
        <v>487</v>
      </c>
      <c r="M63" t="n">
        <v>279</v>
      </c>
      <c r="N63" t="n">
        <v>29</v>
      </c>
      <c r="O63" s="6" t="n">
        <v>10250</v>
      </c>
      <c r="P63">
        <f>SUM(C63:H63)</f>
        <v/>
      </c>
      <c r="Q63">
        <f>I63</f>
        <v/>
      </c>
      <c r="R63">
        <f>J63</f>
        <v/>
      </c>
      <c r="S63">
        <f>SUM(K63:N63)</f>
        <v/>
      </c>
      <c r="T63">
        <f>SUM(P63:S63)</f>
        <v/>
      </c>
      <c r="U63" s="3">
        <f>IF(T63=0,"",P63/T63)</f>
        <v/>
      </c>
      <c r="V63" s="3">
        <f>IF(T63=0,"",Q63/T63)</f>
        <v/>
      </c>
      <c r="W63" s="3">
        <f>IF(T63=0,"",R63/T63)</f>
        <v/>
      </c>
      <c r="X63" s="3">
        <f>IF(T63=0,"",S63/T63)</f>
        <v/>
      </c>
      <c r="Y63" s="4">
        <f>IF(T63=0,"",U63*Pesos!$B$2+V63*Pesos!$B$3+W63*Pesos!$B$4+X63*Pesos!$B$5)</f>
        <v/>
      </c>
    </row>
    <row r="64">
      <c r="A64" s="2" t="n">
        <v>62</v>
      </c>
      <c r="B64" t="n">
        <v>6</v>
      </c>
      <c r="C64" t="n">
        <v>1479</v>
      </c>
      <c r="D64" t="n">
        <v>1430</v>
      </c>
      <c r="E64" t="n">
        <v>1396</v>
      </c>
      <c r="F64" t="n">
        <v>1087</v>
      </c>
      <c r="G64" t="n">
        <v>915</v>
      </c>
      <c r="H64" t="n">
        <v>797</v>
      </c>
      <c r="I64" t="n">
        <v>2444</v>
      </c>
      <c r="J64" t="n">
        <v>1904</v>
      </c>
      <c r="K64" t="n">
        <v>774</v>
      </c>
      <c r="L64" t="n">
        <v>152</v>
      </c>
      <c r="M64" t="n">
        <v>87</v>
      </c>
      <c r="N64" t="n">
        <v>11</v>
      </c>
      <c r="O64" s="6" t="n">
        <v>12476</v>
      </c>
      <c r="P64">
        <f>SUM(C64:H64)</f>
        <v/>
      </c>
      <c r="Q64">
        <f>I64</f>
        <v/>
      </c>
      <c r="R64">
        <f>J64</f>
        <v/>
      </c>
      <c r="S64">
        <f>SUM(K64:N64)</f>
        <v/>
      </c>
      <c r="T64">
        <f>SUM(P64:S64)</f>
        <v/>
      </c>
      <c r="U64" s="3">
        <f>IF(T64=0,"",P64/T64)</f>
        <v/>
      </c>
      <c r="V64" s="3">
        <f>IF(T64=0,"",Q64/T64)</f>
        <v/>
      </c>
      <c r="W64" s="3">
        <f>IF(T64=0,"",R64/T64)</f>
        <v/>
      </c>
      <c r="X64" s="3">
        <f>IF(T64=0,"",S64/T64)</f>
        <v/>
      </c>
      <c r="Y64" s="4">
        <f>IF(T64=0,"",U64*Pesos!$B$2+V64*Pesos!$B$3+W64*Pesos!$B$4+X64*Pesos!$B$5)</f>
        <v/>
      </c>
    </row>
    <row r="65">
      <c r="A65" s="2" t="n">
        <v>63</v>
      </c>
      <c r="B65" t="n">
        <v>7</v>
      </c>
      <c r="C65" t="n">
        <v>1363</v>
      </c>
      <c r="D65" t="n">
        <v>921</v>
      </c>
      <c r="E65" t="n">
        <v>955</v>
      </c>
      <c r="F65" t="n">
        <v>921</v>
      </c>
      <c r="G65" t="n">
        <v>581</v>
      </c>
      <c r="H65" t="n">
        <v>671</v>
      </c>
      <c r="I65" t="n">
        <v>2465</v>
      </c>
      <c r="J65" t="n">
        <v>2138</v>
      </c>
      <c r="K65" t="n">
        <v>1247</v>
      </c>
      <c r="L65" t="n">
        <v>308</v>
      </c>
      <c r="M65" t="n">
        <v>39</v>
      </c>
      <c r="N65" t="n">
        <v>6</v>
      </c>
      <c r="O65" s="6" t="n">
        <v>11615</v>
      </c>
      <c r="P65">
        <f>SUM(C65:H65)</f>
        <v/>
      </c>
      <c r="Q65">
        <f>I65</f>
        <v/>
      </c>
      <c r="R65">
        <f>J65</f>
        <v/>
      </c>
      <c r="S65">
        <f>SUM(K65:N65)</f>
        <v/>
      </c>
      <c r="T65">
        <f>SUM(P65:S65)</f>
        <v/>
      </c>
      <c r="U65" s="3">
        <f>IF(T65=0,"",P65/T65)</f>
        <v/>
      </c>
      <c r="V65" s="3">
        <f>IF(T65=0,"",Q65/T65)</f>
        <v/>
      </c>
      <c r="W65" s="3">
        <f>IF(T65=0,"",R65/T65)</f>
        <v/>
      </c>
      <c r="X65" s="3">
        <f>IF(T65=0,"",S65/T65)</f>
        <v/>
      </c>
      <c r="Y65" s="4">
        <f>IF(T65=0,"",U65*Pesos!$B$2+V65*Pesos!$B$3+W65*Pesos!$B$4+X65*Pesos!$B$5)</f>
        <v/>
      </c>
    </row>
    <row r="66">
      <c r="A66" s="2" t="n">
        <v>64</v>
      </c>
      <c r="B66" t="n">
        <v>8</v>
      </c>
      <c r="C66" t="n">
        <v>1207</v>
      </c>
      <c r="D66" t="n">
        <v>953</v>
      </c>
      <c r="E66" t="n">
        <v>1067</v>
      </c>
      <c r="F66" t="n">
        <v>706</v>
      </c>
      <c r="G66" t="n">
        <v>499</v>
      </c>
      <c r="H66" t="n">
        <v>390</v>
      </c>
      <c r="I66" t="n">
        <v>1526</v>
      </c>
      <c r="J66" t="n">
        <v>2597</v>
      </c>
      <c r="K66" t="n">
        <v>2352</v>
      </c>
      <c r="L66" t="n">
        <v>605</v>
      </c>
      <c r="M66" t="n">
        <v>124</v>
      </c>
      <c r="N66" t="n">
        <v>39</v>
      </c>
      <c r="O66" s="6" t="n">
        <v>12065</v>
      </c>
      <c r="P66">
        <f>SUM(C66:H66)</f>
        <v/>
      </c>
      <c r="Q66">
        <f>I66</f>
        <v/>
      </c>
      <c r="R66">
        <f>J66</f>
        <v/>
      </c>
      <c r="S66">
        <f>SUM(K66:N66)</f>
        <v/>
      </c>
      <c r="T66">
        <f>SUM(P66:S66)</f>
        <v/>
      </c>
      <c r="U66" s="3">
        <f>IF(T66=0,"",P66/T66)</f>
        <v/>
      </c>
      <c r="V66" s="3">
        <f>IF(T66=0,"",Q66/T66)</f>
        <v/>
      </c>
      <c r="W66" s="3">
        <f>IF(T66=0,"",R66/T66)</f>
        <v/>
      </c>
      <c r="X66" s="3">
        <f>IF(T66=0,"",S66/T66)</f>
        <v/>
      </c>
      <c r="Y66" s="4">
        <f>IF(T66=0,"",U66*Pesos!$B$2+V66*Pesos!$B$3+W66*Pesos!$B$4+X66*Pesos!$B$5)</f>
        <v/>
      </c>
    </row>
    <row r="67">
      <c r="A67" s="2" t="n">
        <v>65</v>
      </c>
      <c r="B67" t="n">
        <v>7</v>
      </c>
      <c r="C67" t="n">
        <v>791</v>
      </c>
      <c r="D67" t="n">
        <v>786</v>
      </c>
      <c r="E67" t="n">
        <v>1044</v>
      </c>
      <c r="F67" t="n">
        <v>833</v>
      </c>
      <c r="G67" t="n">
        <v>734</v>
      </c>
      <c r="H67" t="n">
        <v>921</v>
      </c>
      <c r="I67" t="n">
        <v>2454</v>
      </c>
      <c r="J67" t="n">
        <v>2650</v>
      </c>
      <c r="K67" t="n">
        <v>610</v>
      </c>
      <c r="L67" t="n">
        <v>59</v>
      </c>
      <c r="M67" t="n">
        <v>14</v>
      </c>
      <c r="N67" t="n">
        <v>0</v>
      </c>
      <c r="O67" s="6" t="n">
        <v>10896</v>
      </c>
      <c r="P67">
        <f>SUM(C67:H67)</f>
        <v/>
      </c>
      <c r="Q67">
        <f>I67</f>
        <v/>
      </c>
      <c r="R67">
        <f>J67</f>
        <v/>
      </c>
      <c r="S67">
        <f>SUM(K67:N67)</f>
        <v/>
      </c>
      <c r="T67">
        <f>SUM(P67:S67)</f>
        <v/>
      </c>
      <c r="U67" s="3">
        <f>IF(T67=0,"",P67/T67)</f>
        <v/>
      </c>
      <c r="V67" s="3">
        <f>IF(T67=0,"",Q67/T67)</f>
        <v/>
      </c>
      <c r="W67" s="3">
        <f>IF(T67=0,"",R67/T67)</f>
        <v/>
      </c>
      <c r="X67" s="3">
        <f>IF(T67=0,"",S67/T67)</f>
        <v/>
      </c>
      <c r="Y67" s="4">
        <f>IF(T67=0,"",U67*Pesos!$B$2+V67*Pesos!$B$3+W67*Pesos!$B$4+X67*Pesos!$B$5)</f>
        <v/>
      </c>
    </row>
    <row r="68">
      <c r="A68" s="2" t="n">
        <v>66</v>
      </c>
      <c r="B68" t="n">
        <v>5</v>
      </c>
      <c r="C68" t="n">
        <v>1454</v>
      </c>
      <c r="D68" t="n">
        <v>1488</v>
      </c>
      <c r="E68" t="n">
        <v>1520</v>
      </c>
      <c r="F68" t="n">
        <v>1185</v>
      </c>
      <c r="G68" t="n">
        <v>1177</v>
      </c>
      <c r="H68" t="n">
        <v>682</v>
      </c>
      <c r="I68" t="n">
        <v>1946</v>
      </c>
      <c r="J68" t="n">
        <v>1718</v>
      </c>
      <c r="K68" t="n">
        <v>369</v>
      </c>
      <c r="L68" t="n">
        <v>65</v>
      </c>
      <c r="M68" t="n">
        <v>100</v>
      </c>
      <c r="N68" t="n">
        <v>0</v>
      </c>
      <c r="O68" s="6" t="n">
        <v>11704</v>
      </c>
      <c r="P68">
        <f>SUM(C68:H68)</f>
        <v/>
      </c>
      <c r="Q68">
        <f>I68</f>
        <v/>
      </c>
      <c r="R68">
        <f>J68</f>
        <v/>
      </c>
      <c r="S68">
        <f>SUM(K68:N68)</f>
        <v/>
      </c>
      <c r="T68">
        <f>SUM(P68:S68)</f>
        <v/>
      </c>
      <c r="U68" s="3">
        <f>IF(T68=0,"",P68/T68)</f>
        <v/>
      </c>
      <c r="V68" s="3">
        <f>IF(T68=0,"",Q68/T68)</f>
        <v/>
      </c>
      <c r="W68" s="3">
        <f>IF(T68=0,"",R68/T68)</f>
        <v/>
      </c>
      <c r="X68" s="3">
        <f>IF(T68=0,"",S68/T68)</f>
        <v/>
      </c>
      <c r="Y68" s="4">
        <f>IF(T68=0,"",U68*Pesos!$B$2+V68*Pesos!$B$3+W68*Pesos!$B$4+X68*Pesos!$B$5)</f>
        <v/>
      </c>
    </row>
    <row r="69">
      <c r="A69" s="2" t="n">
        <v>67</v>
      </c>
      <c r="B69" t="n">
        <v>11</v>
      </c>
      <c r="C69" t="n">
        <v>2355</v>
      </c>
      <c r="D69" t="n">
        <v>1862</v>
      </c>
      <c r="E69" t="n">
        <v>1862</v>
      </c>
      <c r="F69" t="n">
        <v>1214</v>
      </c>
      <c r="G69" t="n">
        <v>1423</v>
      </c>
      <c r="H69" t="n">
        <v>849</v>
      </c>
      <c r="I69" t="n">
        <v>2539</v>
      </c>
      <c r="J69" t="n">
        <v>4412</v>
      </c>
      <c r="K69" t="n">
        <v>3314</v>
      </c>
      <c r="L69" t="n">
        <v>647</v>
      </c>
      <c r="M69" t="n">
        <v>192</v>
      </c>
      <c r="N69" t="n">
        <v>21</v>
      </c>
      <c r="O69" s="6" t="n">
        <v>20690</v>
      </c>
      <c r="P69">
        <f>SUM(C69:H69)</f>
        <v/>
      </c>
      <c r="Q69">
        <f>I69</f>
        <v/>
      </c>
      <c r="R69">
        <f>J69</f>
        <v/>
      </c>
      <c r="S69">
        <f>SUM(K69:N69)</f>
        <v/>
      </c>
      <c r="T69">
        <f>SUM(P69:S69)</f>
        <v/>
      </c>
      <c r="U69" s="3">
        <f>IF(T69=0,"",P69/T69)</f>
        <v/>
      </c>
      <c r="V69" s="3">
        <f>IF(T69=0,"",Q69/T69)</f>
        <v/>
      </c>
      <c r="W69" s="3">
        <f>IF(T69=0,"",R69/T69)</f>
        <v/>
      </c>
      <c r="X69" s="3">
        <f>IF(T69=0,"",S69/T69)</f>
        <v/>
      </c>
      <c r="Y69" s="4">
        <f>IF(T69=0,"",U69*Pesos!$B$2+V69*Pesos!$B$3+W69*Pesos!$B$4+X69*Pesos!$B$5)</f>
        <v/>
      </c>
    </row>
    <row r="70">
      <c r="A70" s="2" t="n">
        <v>68</v>
      </c>
      <c r="B70" t="n">
        <v>8</v>
      </c>
      <c r="C70" t="n">
        <v>1208</v>
      </c>
      <c r="D70" t="n">
        <v>1104</v>
      </c>
      <c r="E70" t="n">
        <v>1287</v>
      </c>
      <c r="F70" t="n">
        <v>964</v>
      </c>
      <c r="G70" t="n">
        <v>1008</v>
      </c>
      <c r="H70" t="n">
        <v>889</v>
      </c>
      <c r="I70" t="n">
        <v>4151</v>
      </c>
      <c r="J70" t="n">
        <v>2936</v>
      </c>
      <c r="K70" t="n">
        <v>831</v>
      </c>
      <c r="L70" t="n">
        <v>87</v>
      </c>
      <c r="M70" t="n">
        <v>36</v>
      </c>
      <c r="N70" t="n">
        <v>0</v>
      </c>
      <c r="O70" s="6" t="n">
        <v>14501</v>
      </c>
      <c r="P70">
        <f>SUM(C70:H70)</f>
        <v/>
      </c>
      <c r="Q70">
        <f>I70</f>
        <v/>
      </c>
      <c r="R70">
        <f>J70</f>
        <v/>
      </c>
      <c r="S70">
        <f>SUM(K70:N70)</f>
        <v/>
      </c>
      <c r="T70">
        <f>SUM(P70:S70)</f>
        <v/>
      </c>
      <c r="U70" s="3">
        <f>IF(T70=0,"",P70/T70)</f>
        <v/>
      </c>
      <c r="V70" s="3">
        <f>IF(T70=0,"",Q70/T70)</f>
        <v/>
      </c>
      <c r="W70" s="3">
        <f>IF(T70=0,"",R70/T70)</f>
        <v/>
      </c>
      <c r="X70" s="3">
        <f>IF(T70=0,"",S70/T70)</f>
        <v/>
      </c>
      <c r="Y70" s="4">
        <f>IF(T70=0,"",U70*Pesos!$B$2+V70*Pesos!$B$3+W70*Pesos!$B$4+X70*Pesos!$B$5)</f>
        <v/>
      </c>
    </row>
    <row r="71">
      <c r="A71" s="2" t="n">
        <v>69</v>
      </c>
      <c r="B71" t="n">
        <v>10</v>
      </c>
      <c r="C71" t="n">
        <v>817</v>
      </c>
      <c r="D71" t="n">
        <v>737</v>
      </c>
      <c r="E71" t="n">
        <v>775</v>
      </c>
      <c r="F71" t="n">
        <v>461</v>
      </c>
      <c r="G71" t="n">
        <v>482</v>
      </c>
      <c r="H71" t="n">
        <v>317</v>
      </c>
      <c r="I71" t="n">
        <v>1663</v>
      </c>
      <c r="J71" t="n">
        <v>3617</v>
      </c>
      <c r="K71" t="n">
        <v>3756</v>
      </c>
      <c r="L71" t="n">
        <v>765</v>
      </c>
      <c r="M71" t="n">
        <v>75</v>
      </c>
      <c r="N71" t="n">
        <v>0</v>
      </c>
      <c r="O71" s="6" t="n">
        <v>13465</v>
      </c>
      <c r="P71">
        <f>SUM(C71:H71)</f>
        <v/>
      </c>
      <c r="Q71">
        <f>I71</f>
        <v/>
      </c>
      <c r="R71">
        <f>J71</f>
        <v/>
      </c>
      <c r="S71">
        <f>SUM(K71:N71)</f>
        <v/>
      </c>
      <c r="T71">
        <f>SUM(P71:S71)</f>
        <v/>
      </c>
      <c r="U71" s="3">
        <f>IF(T71=0,"",P71/T71)</f>
        <v/>
      </c>
      <c r="V71" s="3">
        <f>IF(T71=0,"",Q71/T71)</f>
        <v/>
      </c>
      <c r="W71" s="3">
        <f>IF(T71=0,"",R71/T71)</f>
        <v/>
      </c>
      <c r="X71" s="3">
        <f>IF(T71=0,"",S71/T71)</f>
        <v/>
      </c>
      <c r="Y71" s="4">
        <f>IF(T71=0,"",U71*Pesos!$B$2+V71*Pesos!$B$3+W71*Pesos!$B$4+X71*Pesos!$B$5)</f>
        <v/>
      </c>
    </row>
    <row r="72">
      <c r="A72" s="2" t="n">
        <v>70</v>
      </c>
      <c r="B72" t="n">
        <v>9</v>
      </c>
      <c r="C72" t="n">
        <v>668</v>
      </c>
      <c r="D72" t="n">
        <v>1417</v>
      </c>
      <c r="E72" t="n">
        <v>1190</v>
      </c>
      <c r="F72" t="n">
        <v>1285</v>
      </c>
      <c r="G72" t="n">
        <v>866</v>
      </c>
      <c r="H72" t="n">
        <v>329</v>
      </c>
      <c r="I72" t="n">
        <v>688</v>
      </c>
      <c r="J72" t="n">
        <v>1545</v>
      </c>
      <c r="K72" t="n">
        <v>3821</v>
      </c>
      <c r="L72" t="n">
        <v>723</v>
      </c>
      <c r="M72" t="n">
        <v>0</v>
      </c>
      <c r="N72" t="n">
        <v>0</v>
      </c>
      <c r="O72" s="6" t="n">
        <v>12532</v>
      </c>
      <c r="P72">
        <f>SUM(C72:H72)</f>
        <v/>
      </c>
      <c r="Q72">
        <f>I72</f>
        <v/>
      </c>
      <c r="R72">
        <f>J72</f>
        <v/>
      </c>
      <c r="S72">
        <f>SUM(K72:N72)</f>
        <v/>
      </c>
      <c r="T72">
        <f>SUM(P72:S72)</f>
        <v/>
      </c>
      <c r="U72" s="3">
        <f>IF(T72=0,"",P72/T72)</f>
        <v/>
      </c>
      <c r="V72" s="3">
        <f>IF(T72=0,"",Q72/T72)</f>
        <v/>
      </c>
      <c r="W72" s="3">
        <f>IF(T72=0,"",R72/T72)</f>
        <v/>
      </c>
      <c r="X72" s="3">
        <f>IF(T72=0,"",S72/T72)</f>
        <v/>
      </c>
      <c r="Y72" s="4">
        <f>IF(T72=0,"",U72*Pesos!$B$2+V72*Pesos!$B$3+W72*Pesos!$B$4+X72*Pesos!$B$5)</f>
        <v/>
      </c>
    </row>
    <row r="73">
      <c r="A73" s="2" t="n">
        <v>71</v>
      </c>
      <c r="B73" t="n">
        <v>2</v>
      </c>
      <c r="C73" t="n">
        <v>143</v>
      </c>
      <c r="D73" t="n">
        <v>575</v>
      </c>
      <c r="E73" t="n">
        <v>364</v>
      </c>
      <c r="F73" t="n">
        <v>71</v>
      </c>
      <c r="G73" t="n">
        <v>28</v>
      </c>
      <c r="H73" t="n">
        <v>66</v>
      </c>
      <c r="I73" t="n">
        <v>323</v>
      </c>
      <c r="J73" t="n">
        <v>739</v>
      </c>
      <c r="K73" t="n">
        <v>1386</v>
      </c>
      <c r="L73" t="n">
        <v>6</v>
      </c>
      <c r="M73" t="n">
        <v>0</v>
      </c>
      <c r="N73" t="n">
        <v>0</v>
      </c>
      <c r="O73" s="6" t="n">
        <v>3701</v>
      </c>
      <c r="P73">
        <f>SUM(C73:H73)</f>
        <v/>
      </c>
      <c r="Q73">
        <f>I73</f>
        <v/>
      </c>
      <c r="R73">
        <f>J73</f>
        <v/>
      </c>
      <c r="S73">
        <f>SUM(K73:N73)</f>
        <v/>
      </c>
      <c r="T73">
        <f>SUM(P73:S73)</f>
        <v/>
      </c>
      <c r="U73" s="3">
        <f>IF(T73=0,"",P73/T73)</f>
        <v/>
      </c>
      <c r="V73" s="3">
        <f>IF(T73=0,"",Q73/T73)</f>
        <v/>
      </c>
      <c r="W73" s="3">
        <f>IF(T73=0,"",R73/T73)</f>
        <v/>
      </c>
      <c r="X73" s="3">
        <f>IF(T73=0,"",S73/T73)</f>
        <v/>
      </c>
      <c r="Y73" s="4">
        <f>IF(T73=0,"",U73*Pesos!$B$2+V73*Pesos!$B$3+W73*Pesos!$B$4+X73*Pesos!$B$5)</f>
        <v/>
      </c>
    </row>
    <row r="74">
      <c r="A74" s="2" t="n">
        <v>72</v>
      </c>
      <c r="B74" t="n">
        <v>8</v>
      </c>
      <c r="C74" t="n">
        <v>462</v>
      </c>
      <c r="D74" t="n">
        <v>474</v>
      </c>
      <c r="E74" t="n">
        <v>516</v>
      </c>
      <c r="F74" t="n">
        <v>649</v>
      </c>
      <c r="G74" t="n">
        <v>377</v>
      </c>
      <c r="H74" t="n">
        <v>304</v>
      </c>
      <c r="I74" t="n">
        <v>1187</v>
      </c>
      <c r="J74" t="n">
        <v>5724</v>
      </c>
      <c r="K74" t="n">
        <v>2956</v>
      </c>
      <c r="L74" t="n">
        <v>0</v>
      </c>
      <c r="M74" t="n">
        <v>0</v>
      </c>
      <c r="N74" t="n">
        <v>0</v>
      </c>
      <c r="O74" s="6" t="n">
        <v>12649</v>
      </c>
      <c r="P74">
        <f>SUM(C74:H74)</f>
        <v/>
      </c>
      <c r="Q74">
        <f>I74</f>
        <v/>
      </c>
      <c r="R74">
        <f>J74</f>
        <v/>
      </c>
      <c r="S74">
        <f>SUM(K74:N74)</f>
        <v/>
      </c>
      <c r="T74">
        <f>SUM(P74:S74)</f>
        <v/>
      </c>
      <c r="U74" s="3">
        <f>IF(T74=0,"",P74/T74)</f>
        <v/>
      </c>
      <c r="V74" s="3">
        <f>IF(T74=0,"",Q74/T74)</f>
        <v/>
      </c>
      <c r="W74" s="3">
        <f>IF(T74=0,"",R74/T74)</f>
        <v/>
      </c>
      <c r="X74" s="3">
        <f>IF(T74=0,"",S74/T74)</f>
        <v/>
      </c>
      <c r="Y74" s="4">
        <f>IF(T74=0,"",U74*Pesos!$B$2+V74*Pesos!$B$3+W74*Pesos!$B$4+X74*Pesos!$B$5)</f>
        <v/>
      </c>
    </row>
    <row r="75">
      <c r="A75" s="2" t="n">
        <v>73</v>
      </c>
      <c r="B75" t="n">
        <v>10</v>
      </c>
      <c r="C75" t="n">
        <v>539</v>
      </c>
      <c r="D75" t="n">
        <v>603</v>
      </c>
      <c r="E75" t="n">
        <v>733</v>
      </c>
      <c r="F75" t="n">
        <v>650</v>
      </c>
      <c r="G75" t="n">
        <v>745</v>
      </c>
      <c r="H75" t="n">
        <v>781</v>
      </c>
      <c r="I75" t="n">
        <v>3545</v>
      </c>
      <c r="J75" t="n">
        <v>3651</v>
      </c>
      <c r="K75" t="n">
        <v>4505</v>
      </c>
      <c r="L75" t="n">
        <v>27</v>
      </c>
      <c r="M75" t="n">
        <v>3</v>
      </c>
      <c r="N75" t="n">
        <v>0</v>
      </c>
      <c r="O75" s="6" t="n">
        <v>15782</v>
      </c>
      <c r="P75">
        <f>SUM(C75:H75)</f>
        <v/>
      </c>
      <c r="Q75">
        <f>I75</f>
        <v/>
      </c>
      <c r="R75">
        <f>J75</f>
        <v/>
      </c>
      <c r="S75">
        <f>SUM(K75:N75)</f>
        <v/>
      </c>
      <c r="T75">
        <f>SUM(P75:S75)</f>
        <v/>
      </c>
      <c r="U75" s="3">
        <f>IF(T75=0,"",P75/T75)</f>
        <v/>
      </c>
      <c r="V75" s="3">
        <f>IF(T75=0,"",Q75/T75)</f>
        <v/>
      </c>
      <c r="W75" s="3">
        <f>IF(T75=0,"",R75/T75)</f>
        <v/>
      </c>
      <c r="X75" s="3">
        <f>IF(T75=0,"",S75/T75)</f>
        <v/>
      </c>
      <c r="Y75" s="4">
        <f>IF(T75=0,"",U75*Pesos!$B$2+V75*Pesos!$B$3+W75*Pesos!$B$4+X75*Pesos!$B$5)</f>
        <v/>
      </c>
    </row>
    <row r="76">
      <c r="A76" s="2" t="n">
        <v>74</v>
      </c>
      <c r="B76" t="n">
        <v>11</v>
      </c>
      <c r="C76" t="n">
        <v>758</v>
      </c>
      <c r="D76" t="n">
        <v>772</v>
      </c>
      <c r="E76" t="n">
        <v>856</v>
      </c>
      <c r="F76" t="n">
        <v>697</v>
      </c>
      <c r="G76" t="n">
        <v>533</v>
      </c>
      <c r="H76" t="n">
        <v>413</v>
      </c>
      <c r="I76" t="n">
        <v>1734</v>
      </c>
      <c r="J76" t="n">
        <v>7165</v>
      </c>
      <c r="K76" t="n">
        <v>5356</v>
      </c>
      <c r="L76" t="n">
        <v>420</v>
      </c>
      <c r="M76" t="n">
        <v>99</v>
      </c>
      <c r="N76" t="n">
        <v>0</v>
      </c>
      <c r="O76" s="6" t="n">
        <v>18803</v>
      </c>
      <c r="P76">
        <f>SUM(C76:H76)</f>
        <v/>
      </c>
      <c r="Q76">
        <f>I76</f>
        <v/>
      </c>
      <c r="R76">
        <f>J76</f>
        <v/>
      </c>
      <c r="S76">
        <f>SUM(K76:N76)</f>
        <v/>
      </c>
      <c r="T76">
        <f>SUM(P76:S76)</f>
        <v/>
      </c>
      <c r="U76" s="3">
        <f>IF(T76=0,"",P76/T76)</f>
        <v/>
      </c>
      <c r="V76" s="3">
        <f>IF(T76=0,"",Q76/T76)</f>
        <v/>
      </c>
      <c r="W76" s="3">
        <f>IF(T76=0,"",R76/T76)</f>
        <v/>
      </c>
      <c r="X76" s="3">
        <f>IF(T76=0,"",S76/T76)</f>
        <v/>
      </c>
      <c r="Y76" s="4">
        <f>IF(T76=0,"",U76*Pesos!$B$2+V76*Pesos!$B$3+W76*Pesos!$B$4+X76*Pesos!$B$5)</f>
        <v/>
      </c>
    </row>
    <row r="77">
      <c r="A77" s="2" t="n">
        <v>75</v>
      </c>
      <c r="B77" t="n">
        <v>3</v>
      </c>
      <c r="C77" t="n">
        <v>800</v>
      </c>
      <c r="D77" t="n">
        <v>149</v>
      </c>
      <c r="E77" t="n">
        <v>223</v>
      </c>
      <c r="F77" t="n">
        <v>144</v>
      </c>
      <c r="G77" t="n">
        <v>152</v>
      </c>
      <c r="H77" t="n">
        <v>178</v>
      </c>
      <c r="I77" t="n">
        <v>530</v>
      </c>
      <c r="J77" t="n">
        <v>865</v>
      </c>
      <c r="K77" t="n">
        <v>587</v>
      </c>
      <c r="L77" t="n">
        <v>279</v>
      </c>
      <c r="M77" t="n">
        <v>22</v>
      </c>
      <c r="N77" t="n">
        <v>0</v>
      </c>
      <c r="O77" s="6" t="n">
        <v>3929</v>
      </c>
      <c r="P77">
        <f>SUM(C77:H77)</f>
        <v/>
      </c>
      <c r="Q77">
        <f>I77</f>
        <v/>
      </c>
      <c r="R77">
        <f>J77</f>
        <v/>
      </c>
      <c r="S77">
        <f>SUM(K77:N77)</f>
        <v/>
      </c>
      <c r="T77">
        <f>SUM(P77:S77)</f>
        <v/>
      </c>
      <c r="U77" s="3">
        <f>IF(T77=0,"",P77/T77)</f>
        <v/>
      </c>
      <c r="V77" s="3">
        <f>IF(T77=0,"",Q77/T77)</f>
        <v/>
      </c>
      <c r="W77" s="3">
        <f>IF(T77=0,"",R77/T77)</f>
        <v/>
      </c>
      <c r="X77" s="3">
        <f>IF(T77=0,"",S77/T77)</f>
        <v/>
      </c>
      <c r="Y77" s="4">
        <f>IF(T77=0,"",U77*Pesos!$B$2+V77*Pesos!$B$3+W77*Pesos!$B$4+X77*Pesos!$B$5)</f>
        <v/>
      </c>
    </row>
    <row r="78">
      <c r="A78" s="2" t="n">
        <v>77</v>
      </c>
      <c r="B78" t="n">
        <v>9</v>
      </c>
      <c r="C78" t="n">
        <v>958</v>
      </c>
      <c r="D78" t="n">
        <v>668</v>
      </c>
      <c r="E78" t="n">
        <v>847</v>
      </c>
      <c r="F78" t="n">
        <v>644</v>
      </c>
      <c r="G78" t="n">
        <v>570</v>
      </c>
      <c r="H78" t="n">
        <v>472</v>
      </c>
      <c r="I78" t="n">
        <v>1958</v>
      </c>
      <c r="J78" t="n">
        <v>3930</v>
      </c>
      <c r="K78" t="n">
        <v>2569</v>
      </c>
      <c r="L78" t="n">
        <v>1200</v>
      </c>
      <c r="M78" t="n">
        <v>800</v>
      </c>
      <c r="N78" t="n">
        <v>192</v>
      </c>
      <c r="O78" s="6" t="n">
        <v>14808</v>
      </c>
      <c r="P78">
        <f>SUM(C78:H78)</f>
        <v/>
      </c>
      <c r="Q78">
        <f>I78</f>
        <v/>
      </c>
      <c r="R78">
        <f>J78</f>
        <v/>
      </c>
      <c r="S78">
        <f>SUM(K78:N78)</f>
        <v/>
      </c>
      <c r="T78">
        <f>SUM(P78:S78)</f>
        <v/>
      </c>
      <c r="U78" s="3">
        <f>IF(T78=0,"",P78/T78)</f>
        <v/>
      </c>
      <c r="V78" s="3">
        <f>IF(T78=0,"",Q78/T78)</f>
        <v/>
      </c>
      <c r="W78" s="3">
        <f>IF(T78=0,"",R78/T78)</f>
        <v/>
      </c>
      <c r="X78" s="3">
        <f>IF(T78=0,"",S78/T78)</f>
        <v/>
      </c>
      <c r="Y78" s="4">
        <f>IF(T78=0,"",U78*Pesos!$B$2+V78*Pesos!$B$3+W78*Pesos!$B$4+X78*Pesos!$B$5)</f>
        <v/>
      </c>
    </row>
    <row r="79">
      <c r="A79" s="2" t="n">
        <v>78</v>
      </c>
      <c r="B79" t="n">
        <v>5</v>
      </c>
      <c r="C79" t="n">
        <v>1445</v>
      </c>
      <c r="D79" t="n">
        <v>1154</v>
      </c>
      <c r="E79" t="n">
        <v>1050</v>
      </c>
      <c r="F79" t="n">
        <v>900</v>
      </c>
      <c r="G79" t="n">
        <v>606</v>
      </c>
      <c r="H79" t="n">
        <v>585</v>
      </c>
      <c r="I79" t="n">
        <v>1828</v>
      </c>
      <c r="J79" t="n">
        <v>2504</v>
      </c>
      <c r="K79" t="n">
        <v>1396</v>
      </c>
      <c r="L79" t="n">
        <v>341</v>
      </c>
      <c r="M79" t="n">
        <v>140</v>
      </c>
      <c r="N79" t="n">
        <v>39</v>
      </c>
      <c r="O79" s="6" t="n">
        <v>11988</v>
      </c>
      <c r="P79">
        <f>SUM(C79:H79)</f>
        <v/>
      </c>
      <c r="Q79">
        <f>I79</f>
        <v/>
      </c>
      <c r="R79">
        <f>J79</f>
        <v/>
      </c>
      <c r="S79">
        <f>SUM(K79:N79)</f>
        <v/>
      </c>
      <c r="T79">
        <f>SUM(P79:S79)</f>
        <v/>
      </c>
      <c r="U79" s="3">
        <f>IF(T79=0,"",P79/T79)</f>
        <v/>
      </c>
      <c r="V79" s="3">
        <f>IF(T79=0,"",Q79/T79)</f>
        <v/>
      </c>
      <c r="W79" s="3">
        <f>IF(T79=0,"",R79/T79)</f>
        <v/>
      </c>
      <c r="X79" s="3">
        <f>IF(T79=0,"",S79/T79)</f>
        <v/>
      </c>
      <c r="Y79" s="4">
        <f>IF(T79=0,"",U79*Pesos!$B$2+V79*Pesos!$B$3+W79*Pesos!$B$4+X79*Pesos!$B$5)</f>
        <v/>
      </c>
    </row>
    <row r="80">
      <c r="A80" s="2" t="n">
        <v>79</v>
      </c>
      <c r="B80" t="n">
        <v>6</v>
      </c>
      <c r="C80" t="n">
        <v>980</v>
      </c>
      <c r="D80" t="n">
        <v>795</v>
      </c>
      <c r="E80" t="n">
        <v>958</v>
      </c>
      <c r="F80" t="n">
        <v>618</v>
      </c>
      <c r="G80" t="n">
        <v>502</v>
      </c>
      <c r="H80" t="n">
        <v>335</v>
      </c>
      <c r="I80" t="n">
        <v>1573</v>
      </c>
      <c r="J80" t="n">
        <v>1730</v>
      </c>
      <c r="K80" t="n">
        <v>601</v>
      </c>
      <c r="L80" t="n">
        <v>215</v>
      </c>
      <c r="M80" t="n">
        <v>122</v>
      </c>
      <c r="N80" t="n">
        <v>65</v>
      </c>
      <c r="O80" s="6" t="n">
        <v>8494</v>
      </c>
      <c r="P80">
        <f>SUM(C80:H80)</f>
        <v/>
      </c>
      <c r="Q80">
        <f>I80</f>
        <v/>
      </c>
      <c r="R80">
        <f>J80</f>
        <v/>
      </c>
      <c r="S80">
        <f>SUM(K80:N80)</f>
        <v/>
      </c>
      <c r="T80">
        <f>SUM(P80:S80)</f>
        <v/>
      </c>
      <c r="U80" s="3">
        <f>IF(T80=0,"",P80/T80)</f>
        <v/>
      </c>
      <c r="V80" s="3">
        <f>IF(T80=0,"",Q80/T80)</f>
        <v/>
      </c>
      <c r="W80" s="3">
        <f>IF(T80=0,"",R80/T80)</f>
        <v/>
      </c>
      <c r="X80" s="3">
        <f>IF(T80=0,"",S80/T80)</f>
        <v/>
      </c>
      <c r="Y80" s="4">
        <f>IF(T80=0,"",U80*Pesos!$B$2+V80*Pesos!$B$3+W80*Pesos!$B$4+X80*Pesos!$B$5)</f>
        <v/>
      </c>
    </row>
    <row r="81">
      <c r="A81" s="2" t="n">
        <v>80</v>
      </c>
      <c r="B81" t="n">
        <v>9</v>
      </c>
      <c r="C81" t="n">
        <v>505</v>
      </c>
      <c r="D81" t="n">
        <v>466</v>
      </c>
      <c r="E81" t="n">
        <v>435</v>
      </c>
      <c r="F81" t="n">
        <v>527</v>
      </c>
      <c r="G81" t="n">
        <v>362</v>
      </c>
      <c r="H81" t="n">
        <v>349</v>
      </c>
      <c r="I81" t="n">
        <v>1359</v>
      </c>
      <c r="J81" t="n">
        <v>3491</v>
      </c>
      <c r="K81" t="n">
        <v>3910</v>
      </c>
      <c r="L81" t="n">
        <v>0</v>
      </c>
      <c r="M81" t="n">
        <v>0</v>
      </c>
      <c r="N81" t="n">
        <v>0</v>
      </c>
      <c r="O81" s="6" t="n">
        <v>11404</v>
      </c>
      <c r="P81">
        <f>SUM(C81:H81)</f>
        <v/>
      </c>
      <c r="Q81">
        <f>I81</f>
        <v/>
      </c>
      <c r="R81">
        <f>J81</f>
        <v/>
      </c>
      <c r="S81">
        <f>SUM(K81:N81)</f>
        <v/>
      </c>
      <c r="T81">
        <f>SUM(P81:S81)</f>
        <v/>
      </c>
      <c r="U81" s="3">
        <f>IF(T81=0,"",P81/T81)</f>
        <v/>
      </c>
      <c r="V81" s="3">
        <f>IF(T81=0,"",Q81/T81)</f>
        <v/>
      </c>
      <c r="W81" s="3">
        <f>IF(T81=0,"",R81/T81)</f>
        <v/>
      </c>
      <c r="X81" s="3">
        <f>IF(T81=0,"",S81/T81)</f>
        <v/>
      </c>
      <c r="Y81" s="4">
        <f>IF(T81=0,"",U81*Pesos!$B$2+V81*Pesos!$B$3+W81*Pesos!$B$4+X81*Pesos!$B$5)</f>
        <v/>
      </c>
    </row>
    <row r="82">
      <c r="A82" s="2" t="n">
        <v>81</v>
      </c>
      <c r="B82" t="n">
        <v>8</v>
      </c>
      <c r="C82" t="n">
        <v>622</v>
      </c>
      <c r="D82" t="n">
        <v>724</v>
      </c>
      <c r="E82" t="n">
        <v>618</v>
      </c>
      <c r="F82" t="n">
        <v>538</v>
      </c>
      <c r="G82" t="n">
        <v>556</v>
      </c>
      <c r="H82" t="n">
        <v>763</v>
      </c>
      <c r="I82" t="n">
        <v>2651</v>
      </c>
      <c r="J82" t="n">
        <v>3465</v>
      </c>
      <c r="K82" t="n">
        <v>3427</v>
      </c>
      <c r="L82" t="n">
        <v>75</v>
      </c>
      <c r="M82" t="n">
        <v>0</v>
      </c>
      <c r="N82" t="n">
        <v>5</v>
      </c>
      <c r="O82" s="6" t="n">
        <v>13444</v>
      </c>
      <c r="P82">
        <f>SUM(C82:H82)</f>
        <v/>
      </c>
      <c r="Q82">
        <f>I82</f>
        <v/>
      </c>
      <c r="R82">
        <f>J82</f>
        <v/>
      </c>
      <c r="S82">
        <f>SUM(K82:N82)</f>
        <v/>
      </c>
      <c r="T82">
        <f>SUM(P82:S82)</f>
        <v/>
      </c>
      <c r="U82" s="3">
        <f>IF(T82=0,"",P82/T82)</f>
        <v/>
      </c>
      <c r="V82" s="3">
        <f>IF(T82=0,"",Q82/T82)</f>
        <v/>
      </c>
      <c r="W82" s="3">
        <f>IF(T82=0,"",R82/T82)</f>
        <v/>
      </c>
      <c r="X82" s="3">
        <f>IF(T82=0,"",S82/T82)</f>
        <v/>
      </c>
      <c r="Y82" s="4">
        <f>IF(T82=0,"",U82*Pesos!$B$2+V82*Pesos!$B$3+W82*Pesos!$B$4+X82*Pesos!$B$5)</f>
        <v/>
      </c>
    </row>
    <row r="83">
      <c r="A83" s="2" t="n">
        <v>82</v>
      </c>
      <c r="B83" t="n">
        <v>8</v>
      </c>
      <c r="C83" t="n">
        <v>369</v>
      </c>
      <c r="D83" t="n">
        <v>274</v>
      </c>
      <c r="E83" t="n">
        <v>546</v>
      </c>
      <c r="F83" t="n">
        <v>374</v>
      </c>
      <c r="G83" t="n">
        <v>305</v>
      </c>
      <c r="H83" t="n">
        <v>476</v>
      </c>
      <c r="I83" t="n">
        <v>2006</v>
      </c>
      <c r="J83" t="n">
        <v>2740</v>
      </c>
      <c r="K83" t="n">
        <v>3469</v>
      </c>
      <c r="L83" t="n">
        <v>4</v>
      </c>
      <c r="M83" t="n">
        <v>0</v>
      </c>
      <c r="N83" t="n">
        <v>0</v>
      </c>
      <c r="O83" s="6" t="n">
        <v>10563</v>
      </c>
      <c r="P83">
        <f>SUM(C83:H83)</f>
        <v/>
      </c>
      <c r="Q83">
        <f>I83</f>
        <v/>
      </c>
      <c r="R83">
        <f>J83</f>
        <v/>
      </c>
      <c r="S83">
        <f>SUM(K83:N83)</f>
        <v/>
      </c>
      <c r="T83">
        <f>SUM(P83:S83)</f>
        <v/>
      </c>
      <c r="U83" s="3">
        <f>IF(T83=0,"",P83/T83)</f>
        <v/>
      </c>
      <c r="V83" s="3">
        <f>IF(T83=0,"",Q83/T83)</f>
        <v/>
      </c>
      <c r="W83" s="3">
        <f>IF(T83=0,"",R83/T83)</f>
        <v/>
      </c>
      <c r="X83" s="3">
        <f>IF(T83=0,"",S83/T83)</f>
        <v/>
      </c>
      <c r="Y83" s="4">
        <f>IF(T83=0,"",U83*Pesos!$B$2+V83*Pesos!$B$3+W83*Pesos!$B$4+X83*Pesos!$B$5)</f>
        <v/>
      </c>
    </row>
    <row r="84">
      <c r="A84" s="2" t="n">
        <v>83</v>
      </c>
      <c r="B84" t="n">
        <v>9</v>
      </c>
      <c r="C84" t="n">
        <v>509</v>
      </c>
      <c r="D84" t="n">
        <v>514</v>
      </c>
      <c r="E84" t="n">
        <v>531</v>
      </c>
      <c r="F84" t="n">
        <v>470</v>
      </c>
      <c r="G84" t="n">
        <v>348</v>
      </c>
      <c r="H84" t="n">
        <v>334</v>
      </c>
      <c r="I84" t="n">
        <v>1653</v>
      </c>
      <c r="J84" t="n">
        <v>3878</v>
      </c>
      <c r="K84" t="n">
        <v>4758</v>
      </c>
      <c r="L84" t="n">
        <v>80</v>
      </c>
      <c r="M84" t="n">
        <v>25</v>
      </c>
      <c r="N84" t="n">
        <v>4</v>
      </c>
      <c r="O84" s="6" t="n">
        <v>13104</v>
      </c>
      <c r="P84">
        <f>SUM(C84:H84)</f>
        <v/>
      </c>
      <c r="Q84">
        <f>I84</f>
        <v/>
      </c>
      <c r="R84">
        <f>J84</f>
        <v/>
      </c>
      <c r="S84">
        <f>SUM(K84:N84)</f>
        <v/>
      </c>
      <c r="T84">
        <f>SUM(P84:S84)</f>
        <v/>
      </c>
      <c r="U84" s="3">
        <f>IF(T84=0,"",P84/T84)</f>
        <v/>
      </c>
      <c r="V84" s="3">
        <f>IF(T84=0,"",Q84/T84)</f>
        <v/>
      </c>
      <c r="W84" s="3">
        <f>IF(T84=0,"",R84/T84)</f>
        <v/>
      </c>
      <c r="X84" s="3">
        <f>IF(T84=0,"",S84/T84)</f>
        <v/>
      </c>
      <c r="Y84" s="4">
        <f>IF(T84=0,"",U84*Pesos!$B$2+V84*Pesos!$B$3+W84*Pesos!$B$4+X84*Pesos!$B$5)</f>
        <v/>
      </c>
    </row>
    <row r="85">
      <c r="A85" s="2" t="n">
        <v>84</v>
      </c>
      <c r="B85" t="n">
        <v>7</v>
      </c>
      <c r="C85" t="n">
        <v>577</v>
      </c>
      <c r="D85" t="n">
        <v>780</v>
      </c>
      <c r="E85" t="n">
        <v>992</v>
      </c>
      <c r="F85" t="n">
        <v>688</v>
      </c>
      <c r="G85" t="n">
        <v>562</v>
      </c>
      <c r="H85" t="n">
        <v>459</v>
      </c>
      <c r="I85" t="n">
        <v>1306</v>
      </c>
      <c r="J85" t="n">
        <v>1364</v>
      </c>
      <c r="K85" t="n">
        <v>2631</v>
      </c>
      <c r="L85" t="n">
        <v>445</v>
      </c>
      <c r="M85" t="n">
        <v>123</v>
      </c>
      <c r="N85" t="n">
        <v>40</v>
      </c>
      <c r="O85" s="6" t="n">
        <v>9967</v>
      </c>
      <c r="P85">
        <f>SUM(C85:H85)</f>
        <v/>
      </c>
      <c r="Q85">
        <f>I85</f>
        <v/>
      </c>
      <c r="R85">
        <f>J85</f>
        <v/>
      </c>
      <c r="S85">
        <f>SUM(K85:N85)</f>
        <v/>
      </c>
      <c r="T85">
        <f>SUM(P85:S85)</f>
        <v/>
      </c>
      <c r="U85" s="3">
        <f>IF(T85=0,"",P85/T85)</f>
        <v/>
      </c>
      <c r="V85" s="3">
        <f>IF(T85=0,"",Q85/T85)</f>
        <v/>
      </c>
      <c r="W85" s="3">
        <f>IF(T85=0,"",R85/T85)</f>
        <v/>
      </c>
      <c r="X85" s="3">
        <f>IF(T85=0,"",S85/T85)</f>
        <v/>
      </c>
      <c r="Y85" s="4">
        <f>IF(T85=0,"",U85*Pesos!$B$2+V85*Pesos!$B$3+W85*Pesos!$B$4+X85*Pesos!$B$5)</f>
        <v/>
      </c>
    </row>
    <row r="86">
      <c r="A86" s="2" t="n">
        <v>85</v>
      </c>
      <c r="B86" t="n">
        <v>6</v>
      </c>
      <c r="C86" t="n">
        <v>1260</v>
      </c>
      <c r="D86" t="n">
        <v>1438</v>
      </c>
      <c r="E86" t="n">
        <v>1028</v>
      </c>
      <c r="F86" t="n">
        <v>630</v>
      </c>
      <c r="G86" t="n">
        <v>886</v>
      </c>
      <c r="H86" t="n">
        <v>440</v>
      </c>
      <c r="I86" t="n">
        <v>1664</v>
      </c>
      <c r="J86" t="n">
        <v>3222</v>
      </c>
      <c r="K86" t="n">
        <v>2877</v>
      </c>
      <c r="L86" t="n">
        <v>0</v>
      </c>
      <c r="M86" t="n">
        <v>0</v>
      </c>
      <c r="N86" t="n">
        <v>0</v>
      </c>
      <c r="O86" s="6" t="n">
        <v>13445</v>
      </c>
      <c r="P86">
        <f>SUM(C86:H86)</f>
        <v/>
      </c>
      <c r="Q86">
        <f>I86</f>
        <v/>
      </c>
      <c r="R86">
        <f>J86</f>
        <v/>
      </c>
      <c r="S86">
        <f>SUM(K86:N86)</f>
        <v/>
      </c>
      <c r="T86">
        <f>SUM(P86:S86)</f>
        <v/>
      </c>
      <c r="U86" s="3">
        <f>IF(T86=0,"",P86/T86)</f>
        <v/>
      </c>
      <c r="V86" s="3">
        <f>IF(T86=0,"",Q86/T86)</f>
        <v/>
      </c>
      <c r="W86" s="3">
        <f>IF(T86=0,"",R86/T86)</f>
        <v/>
      </c>
      <c r="X86" s="3">
        <f>IF(T86=0,"",S86/T86)</f>
        <v/>
      </c>
      <c r="Y86" s="4">
        <f>IF(T86=0,"",U86*Pesos!$B$2+V86*Pesos!$B$3+W86*Pesos!$B$4+X86*Pesos!$B$5)</f>
        <v/>
      </c>
    </row>
    <row r="87">
      <c r="A87" s="2" t="n">
        <v>86</v>
      </c>
      <c r="B87" t="n">
        <v>8</v>
      </c>
      <c r="C87" t="n">
        <v>710</v>
      </c>
      <c r="D87" t="n">
        <v>616</v>
      </c>
      <c r="E87" t="n">
        <v>837</v>
      </c>
      <c r="F87" t="n">
        <v>660</v>
      </c>
      <c r="G87" t="n">
        <v>645</v>
      </c>
      <c r="H87" t="n">
        <v>693</v>
      </c>
      <c r="I87" t="n">
        <v>2472</v>
      </c>
      <c r="J87" t="n">
        <v>5457</v>
      </c>
      <c r="K87" t="n">
        <v>3201</v>
      </c>
      <c r="L87" t="n">
        <v>221</v>
      </c>
      <c r="M87" t="n">
        <v>0</v>
      </c>
      <c r="N87" t="n">
        <v>0</v>
      </c>
      <c r="O87" s="6" t="n">
        <v>15512</v>
      </c>
      <c r="P87">
        <f>SUM(C87:H87)</f>
        <v/>
      </c>
      <c r="Q87">
        <f>I87</f>
        <v/>
      </c>
      <c r="R87">
        <f>J87</f>
        <v/>
      </c>
      <c r="S87">
        <f>SUM(K87:N87)</f>
        <v/>
      </c>
      <c r="T87">
        <f>SUM(P87:S87)</f>
        <v/>
      </c>
      <c r="U87" s="3">
        <f>IF(T87=0,"",P87/T87)</f>
        <v/>
      </c>
      <c r="V87" s="3">
        <f>IF(T87=0,"",Q87/T87)</f>
        <v/>
      </c>
      <c r="W87" s="3">
        <f>IF(T87=0,"",R87/T87)</f>
        <v/>
      </c>
      <c r="X87" s="3">
        <f>IF(T87=0,"",S87/T87)</f>
        <v/>
      </c>
      <c r="Y87" s="4">
        <f>IF(T87=0,"",U87*Pesos!$B$2+V87*Pesos!$B$3+W87*Pesos!$B$4+X87*Pesos!$B$5)</f>
        <v/>
      </c>
    </row>
    <row r="88">
      <c r="A88" s="2" t="n">
        <v>87</v>
      </c>
      <c r="B88" t="n">
        <v>8</v>
      </c>
      <c r="C88" t="n">
        <v>814</v>
      </c>
      <c r="D88" t="n">
        <v>665</v>
      </c>
      <c r="E88" t="n">
        <v>731</v>
      </c>
      <c r="F88" t="n">
        <v>665</v>
      </c>
      <c r="G88" t="n">
        <v>674</v>
      </c>
      <c r="H88" t="n">
        <v>675</v>
      </c>
      <c r="I88" t="n">
        <v>4098</v>
      </c>
      <c r="J88" t="n">
        <v>6871</v>
      </c>
      <c r="K88" t="n">
        <v>275</v>
      </c>
      <c r="L88" t="n">
        <v>0</v>
      </c>
      <c r="M88" t="n">
        <v>0</v>
      </c>
      <c r="N88" t="n">
        <v>0</v>
      </c>
      <c r="O88" s="6" t="n">
        <v>15468</v>
      </c>
      <c r="P88">
        <f>SUM(C88:H88)</f>
        <v/>
      </c>
      <c r="Q88">
        <f>I88</f>
        <v/>
      </c>
      <c r="R88">
        <f>J88</f>
        <v/>
      </c>
      <c r="S88">
        <f>SUM(K88:N88)</f>
        <v/>
      </c>
      <c r="T88">
        <f>SUM(P88:S88)</f>
        <v/>
      </c>
      <c r="U88" s="3">
        <f>IF(T88=0,"",P88/T88)</f>
        <v/>
      </c>
      <c r="V88" s="3">
        <f>IF(T88=0,"",Q88/T88)</f>
        <v/>
      </c>
      <c r="W88" s="3">
        <f>IF(T88=0,"",R88/T88)</f>
        <v/>
      </c>
      <c r="X88" s="3">
        <f>IF(T88=0,"",S88/T88)</f>
        <v/>
      </c>
      <c r="Y88" s="4">
        <f>IF(T88=0,"",U88*Pesos!$B$2+V88*Pesos!$B$3+W88*Pesos!$B$4+X88*Pesos!$B$5)</f>
        <v/>
      </c>
    </row>
    <row r="89">
      <c r="A89" s="2" t="n">
        <v>88</v>
      </c>
      <c r="B89" t="n">
        <v>9</v>
      </c>
      <c r="C89" t="n">
        <v>637</v>
      </c>
      <c r="D89" t="n">
        <v>689</v>
      </c>
      <c r="E89" t="n">
        <v>1032</v>
      </c>
      <c r="F89" t="n">
        <v>555</v>
      </c>
      <c r="G89" t="n">
        <v>575</v>
      </c>
      <c r="H89" t="n">
        <v>501</v>
      </c>
      <c r="I89" t="n">
        <v>2982</v>
      </c>
      <c r="J89" t="n">
        <v>6025</v>
      </c>
      <c r="K89" t="n">
        <v>3806</v>
      </c>
      <c r="L89" t="n">
        <v>2</v>
      </c>
      <c r="M89" t="n">
        <v>0</v>
      </c>
      <c r="N89" t="n">
        <v>0</v>
      </c>
      <c r="O89" s="6" t="n">
        <v>16804</v>
      </c>
      <c r="P89">
        <f>SUM(C89:H89)</f>
        <v/>
      </c>
      <c r="Q89">
        <f>I89</f>
        <v/>
      </c>
      <c r="R89">
        <f>J89</f>
        <v/>
      </c>
      <c r="S89">
        <f>SUM(K89:N89)</f>
        <v/>
      </c>
      <c r="T89">
        <f>SUM(P89:S89)</f>
        <v/>
      </c>
      <c r="U89" s="3">
        <f>IF(T89=0,"",P89/T89)</f>
        <v/>
      </c>
      <c r="V89" s="3">
        <f>IF(T89=0,"",Q89/T89)</f>
        <v/>
      </c>
      <c r="W89" s="3">
        <f>IF(T89=0,"",R89/T89)</f>
        <v/>
      </c>
      <c r="X89" s="3">
        <f>IF(T89=0,"",S89/T89)</f>
        <v/>
      </c>
      <c r="Y89" s="4">
        <f>IF(T89=0,"",U89*Pesos!$B$2+V89*Pesos!$B$3+W89*Pesos!$B$4+X89*Pesos!$B$5)</f>
        <v/>
      </c>
    </row>
    <row r="90">
      <c r="A90" s="2" t="n">
        <v>89</v>
      </c>
      <c r="B90" t="n">
        <v>7</v>
      </c>
      <c r="C90" t="n">
        <v>505</v>
      </c>
      <c r="D90" t="n">
        <v>521</v>
      </c>
      <c r="E90" t="n">
        <v>869</v>
      </c>
      <c r="F90" t="n">
        <v>362</v>
      </c>
      <c r="G90" t="n">
        <v>497</v>
      </c>
      <c r="H90" t="n">
        <v>380</v>
      </c>
      <c r="I90" t="n">
        <v>943</v>
      </c>
      <c r="J90" t="n">
        <v>2826</v>
      </c>
      <c r="K90" t="n">
        <v>2980</v>
      </c>
      <c r="L90" t="n">
        <v>171</v>
      </c>
      <c r="M90" t="n">
        <v>0</v>
      </c>
      <c r="N90" t="n">
        <v>0</v>
      </c>
      <c r="O90" s="6" t="n">
        <v>10054</v>
      </c>
      <c r="P90">
        <f>SUM(C90:H90)</f>
        <v/>
      </c>
      <c r="Q90">
        <f>I90</f>
        <v/>
      </c>
      <c r="R90">
        <f>J90</f>
        <v/>
      </c>
      <c r="S90">
        <f>SUM(K90:N90)</f>
        <v/>
      </c>
      <c r="T90">
        <f>SUM(P90:S90)</f>
        <v/>
      </c>
      <c r="U90" s="3">
        <f>IF(T90=0,"",P90/T90)</f>
        <v/>
      </c>
      <c r="V90" s="3">
        <f>IF(T90=0,"",Q90/T90)</f>
        <v/>
      </c>
      <c r="W90" s="3">
        <f>IF(T90=0,"",R90/T90)</f>
        <v/>
      </c>
      <c r="X90" s="3">
        <f>IF(T90=0,"",S90/T90)</f>
        <v/>
      </c>
      <c r="Y90" s="4">
        <f>IF(T90=0,"",U90*Pesos!$B$2+V90*Pesos!$B$3+W90*Pesos!$B$4+X90*Pesos!$B$5)</f>
        <v/>
      </c>
    </row>
    <row r="91">
      <c r="A91" s="2" t="n">
        <v>90</v>
      </c>
      <c r="B91" t="n">
        <v>11</v>
      </c>
      <c r="C91" t="n">
        <v>574</v>
      </c>
      <c r="D91" t="n">
        <v>605</v>
      </c>
      <c r="E91" t="n">
        <v>699</v>
      </c>
      <c r="F91" t="n">
        <v>562</v>
      </c>
      <c r="G91" t="n">
        <v>524</v>
      </c>
      <c r="H91" t="n">
        <v>431</v>
      </c>
      <c r="I91" t="n">
        <v>2243</v>
      </c>
      <c r="J91" t="n">
        <v>6550</v>
      </c>
      <c r="K91" t="n">
        <v>4731</v>
      </c>
      <c r="L91" t="n">
        <v>0</v>
      </c>
      <c r="M91" t="n">
        <v>0</v>
      </c>
      <c r="N91" t="n">
        <v>0</v>
      </c>
      <c r="O91" s="6" t="n">
        <v>16919</v>
      </c>
      <c r="P91">
        <f>SUM(C91:H91)</f>
        <v/>
      </c>
      <c r="Q91">
        <f>I91</f>
        <v/>
      </c>
      <c r="R91">
        <f>J91</f>
        <v/>
      </c>
      <c r="S91">
        <f>SUM(K91:N91)</f>
        <v/>
      </c>
      <c r="T91">
        <f>SUM(P91:S91)</f>
        <v/>
      </c>
      <c r="U91" s="3">
        <f>IF(T91=0,"",P91/T91)</f>
        <v/>
      </c>
      <c r="V91" s="3">
        <f>IF(T91=0,"",Q91/T91)</f>
        <v/>
      </c>
      <c r="W91" s="3">
        <f>IF(T91=0,"",R91/T91)</f>
        <v/>
      </c>
      <c r="X91" s="3">
        <f>IF(T91=0,"",S91/T91)</f>
        <v/>
      </c>
      <c r="Y91" s="4">
        <f>IF(T91=0,"",U91*Pesos!$B$2+V91*Pesos!$B$3+W91*Pesos!$B$4+X91*Pesos!$B$5)</f>
        <v/>
      </c>
    </row>
    <row r="92">
      <c r="A92" s="2" t="n">
        <v>91</v>
      </c>
      <c r="B92" t="n">
        <v>9</v>
      </c>
      <c r="C92" t="n">
        <v>528</v>
      </c>
      <c r="D92" t="n">
        <v>549</v>
      </c>
      <c r="E92" t="n">
        <v>512</v>
      </c>
      <c r="F92" t="n">
        <v>520</v>
      </c>
      <c r="G92" t="n">
        <v>526</v>
      </c>
      <c r="H92" t="n">
        <v>608</v>
      </c>
      <c r="I92" t="n">
        <v>2863</v>
      </c>
      <c r="J92" t="n">
        <v>7831</v>
      </c>
      <c r="K92" t="n">
        <v>2081</v>
      </c>
      <c r="L92" t="n">
        <v>0</v>
      </c>
      <c r="M92" t="n">
        <v>0</v>
      </c>
      <c r="N92" t="n">
        <v>0</v>
      </c>
      <c r="O92" s="6" t="n">
        <v>16018</v>
      </c>
      <c r="P92">
        <f>SUM(C92:H92)</f>
        <v/>
      </c>
      <c r="Q92">
        <f>I92</f>
        <v/>
      </c>
      <c r="R92">
        <f>J92</f>
        <v/>
      </c>
      <c r="S92">
        <f>SUM(K92:N92)</f>
        <v/>
      </c>
      <c r="T92">
        <f>SUM(P92:S92)</f>
        <v/>
      </c>
      <c r="U92" s="3">
        <f>IF(T92=0,"",P92/T92)</f>
        <v/>
      </c>
      <c r="V92" s="3">
        <f>IF(T92=0,"",Q92/T92)</f>
        <v/>
      </c>
      <c r="W92" s="3">
        <f>IF(T92=0,"",R92/T92)</f>
        <v/>
      </c>
      <c r="X92" s="3">
        <f>IF(T92=0,"",S92/T92)</f>
        <v/>
      </c>
      <c r="Y92" s="4">
        <f>IF(T92=0,"",U92*Pesos!$B$2+V92*Pesos!$B$3+W92*Pesos!$B$4+X92*Pesos!$B$5)</f>
        <v/>
      </c>
    </row>
    <row r="93">
      <c r="A93" s="2" t="n">
        <v>92</v>
      </c>
      <c r="B93" t="n">
        <v>9</v>
      </c>
      <c r="C93" t="n">
        <v>1783</v>
      </c>
      <c r="D93" t="n">
        <v>2133</v>
      </c>
      <c r="E93" t="n">
        <v>3095</v>
      </c>
      <c r="F93" t="n">
        <v>5032</v>
      </c>
      <c r="G93" t="n">
        <v>3956</v>
      </c>
      <c r="H93" t="n">
        <v>969</v>
      </c>
      <c r="I93" t="n">
        <v>1399</v>
      </c>
      <c r="J93" t="n">
        <v>954</v>
      </c>
      <c r="K93" t="n">
        <v>568</v>
      </c>
      <c r="L93" t="n">
        <v>0</v>
      </c>
      <c r="M93" t="n">
        <v>0</v>
      </c>
      <c r="N93" t="n">
        <v>0</v>
      </c>
      <c r="O93" s="6" t="n">
        <v>19889</v>
      </c>
      <c r="P93">
        <f>SUM(C93:H93)</f>
        <v/>
      </c>
      <c r="Q93">
        <f>I93</f>
        <v/>
      </c>
      <c r="R93">
        <f>J93</f>
        <v/>
      </c>
      <c r="S93">
        <f>SUM(K93:N93)</f>
        <v/>
      </c>
      <c r="T93">
        <f>SUM(P93:S93)</f>
        <v/>
      </c>
      <c r="U93" s="3">
        <f>IF(T93=0,"",P93/T93)</f>
        <v/>
      </c>
      <c r="V93" s="3">
        <f>IF(T93=0,"",Q93/T93)</f>
        <v/>
      </c>
      <c r="W93" s="3">
        <f>IF(T93=0,"",R93/T93)</f>
        <v/>
      </c>
      <c r="X93" s="3">
        <f>IF(T93=0,"",S93/T93)</f>
        <v/>
      </c>
      <c r="Y93" s="4">
        <f>IF(T93=0,"",U93*Pesos!$B$2+V93*Pesos!$B$3+W93*Pesos!$B$4+X93*Pesos!$B$5)</f>
        <v/>
      </c>
    </row>
    <row r="94">
      <c r="A94" s="2" t="n">
        <v>93</v>
      </c>
      <c r="B94" t="n">
        <v>13</v>
      </c>
      <c r="C94" t="n">
        <v>3048</v>
      </c>
      <c r="D94" t="n">
        <v>2979</v>
      </c>
      <c r="E94" t="n">
        <v>2854</v>
      </c>
      <c r="F94" t="n">
        <v>2524</v>
      </c>
      <c r="G94" t="n">
        <v>1805</v>
      </c>
      <c r="H94" t="n">
        <v>1524</v>
      </c>
      <c r="I94" t="n">
        <v>5057</v>
      </c>
      <c r="J94" t="n">
        <v>4105</v>
      </c>
      <c r="K94" t="n">
        <v>1041</v>
      </c>
      <c r="L94" t="n">
        <v>262</v>
      </c>
      <c r="M94" t="n">
        <v>120</v>
      </c>
      <c r="N94" t="n">
        <v>23</v>
      </c>
      <c r="O94" s="6" t="n">
        <v>25342</v>
      </c>
      <c r="P94">
        <f>SUM(C94:H94)</f>
        <v/>
      </c>
      <c r="Q94">
        <f>I94</f>
        <v/>
      </c>
      <c r="R94">
        <f>J94</f>
        <v/>
      </c>
      <c r="S94">
        <f>SUM(K94:N94)</f>
        <v/>
      </c>
      <c r="T94">
        <f>SUM(P94:S94)</f>
        <v/>
      </c>
      <c r="U94" s="3">
        <f>IF(T94=0,"",P94/T94)</f>
        <v/>
      </c>
      <c r="V94" s="3">
        <f>IF(T94=0,"",Q94/T94)</f>
        <v/>
      </c>
      <c r="W94" s="3">
        <f>IF(T94=0,"",R94/T94)</f>
        <v/>
      </c>
      <c r="X94" s="3">
        <f>IF(T94=0,"",S94/T94)</f>
        <v/>
      </c>
      <c r="Y94" s="4">
        <f>IF(T94=0,"",U94*Pesos!$B$2+V94*Pesos!$B$3+W94*Pesos!$B$4+X94*Pesos!$B$5)</f>
        <v/>
      </c>
    </row>
    <row r="95">
      <c r="A95" s="2" t="n">
        <v>94</v>
      </c>
      <c r="B95" t="n">
        <v>9</v>
      </c>
      <c r="C95" t="n">
        <v>756</v>
      </c>
      <c r="D95" t="n">
        <v>625</v>
      </c>
      <c r="E95" t="n">
        <v>822</v>
      </c>
      <c r="F95" t="n">
        <v>495</v>
      </c>
      <c r="G95" t="n">
        <v>376</v>
      </c>
      <c r="H95" t="n">
        <v>323</v>
      </c>
      <c r="I95" t="n">
        <v>1143</v>
      </c>
      <c r="J95" t="n">
        <v>2552</v>
      </c>
      <c r="K95" t="n">
        <v>4641</v>
      </c>
      <c r="L95" t="n">
        <v>1460</v>
      </c>
      <c r="M95" t="n">
        <v>44</v>
      </c>
      <c r="N95" t="n">
        <v>0</v>
      </c>
      <c r="O95" s="6" t="n">
        <v>13237</v>
      </c>
      <c r="P95">
        <f>SUM(C95:H95)</f>
        <v/>
      </c>
      <c r="Q95">
        <f>I95</f>
        <v/>
      </c>
      <c r="R95">
        <f>J95</f>
        <v/>
      </c>
      <c r="S95">
        <f>SUM(K95:N95)</f>
        <v/>
      </c>
      <c r="T95">
        <f>SUM(P95:S95)</f>
        <v/>
      </c>
      <c r="U95" s="3">
        <f>IF(T95=0,"",P95/T95)</f>
        <v/>
      </c>
      <c r="V95" s="3">
        <f>IF(T95=0,"",Q95/T95)</f>
        <v/>
      </c>
      <c r="W95" s="3">
        <f>IF(T95=0,"",R95/T95)</f>
        <v/>
      </c>
      <c r="X95" s="3">
        <f>IF(T95=0,"",S95/T95)</f>
        <v/>
      </c>
      <c r="Y95" s="4">
        <f>IF(T95=0,"",U95*Pesos!$B$2+V95*Pesos!$B$3+W95*Pesos!$B$4+X95*Pesos!$B$5)</f>
        <v/>
      </c>
    </row>
    <row r="96">
      <c r="A96" s="2" t="n">
        <v>95</v>
      </c>
      <c r="B96" t="n">
        <v>10</v>
      </c>
      <c r="C96" t="n">
        <v>805</v>
      </c>
      <c r="D96" t="n">
        <v>950</v>
      </c>
      <c r="E96" t="n">
        <v>1001</v>
      </c>
      <c r="F96" t="n">
        <v>831</v>
      </c>
      <c r="G96" t="n">
        <v>488</v>
      </c>
      <c r="H96" t="n">
        <v>418</v>
      </c>
      <c r="I96" t="n">
        <v>1551</v>
      </c>
      <c r="J96" t="n">
        <v>2649</v>
      </c>
      <c r="K96" t="n">
        <v>4094</v>
      </c>
      <c r="L96" t="n">
        <v>1123</v>
      </c>
      <c r="M96" t="n">
        <v>124</v>
      </c>
      <c r="N96" t="n">
        <v>11</v>
      </c>
      <c r="O96" s="6" t="n">
        <v>14045</v>
      </c>
      <c r="P96">
        <f>SUM(C96:H96)</f>
        <v/>
      </c>
      <c r="Q96">
        <f>I96</f>
        <v/>
      </c>
      <c r="R96">
        <f>J96</f>
        <v/>
      </c>
      <c r="S96">
        <f>SUM(K96:N96)</f>
        <v/>
      </c>
      <c r="T96">
        <f>SUM(P96:S96)</f>
        <v/>
      </c>
      <c r="U96" s="3">
        <f>IF(T96=0,"",P96/T96)</f>
        <v/>
      </c>
      <c r="V96" s="3">
        <f>IF(T96=0,"",Q96/T96)</f>
        <v/>
      </c>
      <c r="W96" s="3">
        <f>IF(T96=0,"",R96/T96)</f>
        <v/>
      </c>
      <c r="X96" s="3">
        <f>IF(T96=0,"",S96/T96)</f>
        <v/>
      </c>
      <c r="Y96" s="4">
        <f>IF(T96=0,"",U96*Pesos!$B$2+V96*Pesos!$B$3+W96*Pesos!$B$4+X96*Pesos!$B$5)</f>
        <v/>
      </c>
    </row>
    <row r="97">
      <c r="A97" s="2" t="n">
        <v>96</v>
      </c>
      <c r="B97" t="n">
        <v>7</v>
      </c>
      <c r="C97" t="n">
        <v>536</v>
      </c>
      <c r="D97" t="n">
        <v>444</v>
      </c>
      <c r="E97" t="n">
        <v>494</v>
      </c>
      <c r="F97" t="n">
        <v>465</v>
      </c>
      <c r="G97" t="n">
        <v>292</v>
      </c>
      <c r="H97" t="n">
        <v>228</v>
      </c>
      <c r="I97" t="n">
        <v>946</v>
      </c>
      <c r="J97" t="n">
        <v>2122</v>
      </c>
      <c r="K97" t="n">
        <v>2676</v>
      </c>
      <c r="L97" t="n">
        <v>1283</v>
      </c>
      <c r="M97" t="n">
        <v>183</v>
      </c>
      <c r="N97" t="n">
        <v>2</v>
      </c>
      <c r="O97" s="6" t="n">
        <v>9671</v>
      </c>
      <c r="P97">
        <f>SUM(C97:H97)</f>
        <v/>
      </c>
      <c r="Q97">
        <f>I97</f>
        <v/>
      </c>
      <c r="R97">
        <f>J97</f>
        <v/>
      </c>
      <c r="S97">
        <f>SUM(K97:N97)</f>
        <v/>
      </c>
      <c r="T97">
        <f>SUM(P97:S97)</f>
        <v/>
      </c>
      <c r="U97" s="3">
        <f>IF(T97=0,"",P97/T97)</f>
        <v/>
      </c>
      <c r="V97" s="3">
        <f>IF(T97=0,"",Q97/T97)</f>
        <v/>
      </c>
      <c r="W97" s="3">
        <f>IF(T97=0,"",R97/T97)</f>
        <v/>
      </c>
      <c r="X97" s="3">
        <f>IF(T97=0,"",S97/T97)</f>
        <v/>
      </c>
      <c r="Y97" s="4">
        <f>IF(T97=0,"",U97*Pesos!$B$2+V97*Pesos!$B$3+W97*Pesos!$B$4+X97*Pesos!$B$5)</f>
        <v/>
      </c>
    </row>
    <row r="98">
      <c r="A98" s="2" t="n">
        <v>97</v>
      </c>
      <c r="B98" t="n">
        <v>7</v>
      </c>
      <c r="C98" t="n">
        <v>589</v>
      </c>
      <c r="D98" t="n">
        <v>1306</v>
      </c>
      <c r="E98" t="n">
        <v>3061</v>
      </c>
      <c r="F98" t="n">
        <v>5242</v>
      </c>
      <c r="G98" t="n">
        <v>1418</v>
      </c>
      <c r="H98" t="n">
        <v>680</v>
      </c>
      <c r="I98" t="n">
        <v>2768</v>
      </c>
      <c r="J98" t="n">
        <v>166</v>
      </c>
      <c r="K98" t="n">
        <v>502</v>
      </c>
      <c r="L98" t="n">
        <v>53</v>
      </c>
      <c r="M98" t="n">
        <v>2</v>
      </c>
      <c r="N98" t="n">
        <v>0</v>
      </c>
      <c r="O98" s="6" t="n">
        <v>15787</v>
      </c>
      <c r="P98">
        <f>SUM(C98:H98)</f>
        <v/>
      </c>
      <c r="Q98">
        <f>I98</f>
        <v/>
      </c>
      <c r="R98">
        <f>J98</f>
        <v/>
      </c>
      <c r="S98">
        <f>SUM(K98:N98)</f>
        <v/>
      </c>
      <c r="T98">
        <f>SUM(P98:S98)</f>
        <v/>
      </c>
      <c r="U98" s="3">
        <f>IF(T98=0,"",P98/T98)</f>
        <v/>
      </c>
      <c r="V98" s="3">
        <f>IF(T98=0,"",Q98/T98)</f>
        <v/>
      </c>
      <c r="W98" s="3">
        <f>IF(T98=0,"",R98/T98)</f>
        <v/>
      </c>
      <c r="X98" s="3">
        <f>IF(T98=0,"",S98/T98)</f>
        <v/>
      </c>
      <c r="Y98" s="4">
        <f>IF(T98=0,"",U98*Pesos!$B$2+V98*Pesos!$B$3+W98*Pesos!$B$4+X98*Pesos!$B$5)</f>
        <v/>
      </c>
    </row>
    <row r="99">
      <c r="A99" s="2" t="n">
        <v>98</v>
      </c>
      <c r="B99" t="n">
        <v>7</v>
      </c>
      <c r="C99" t="n">
        <v>410</v>
      </c>
      <c r="D99" t="n">
        <v>406</v>
      </c>
      <c r="E99" t="n">
        <v>422</v>
      </c>
      <c r="F99" t="n">
        <v>293</v>
      </c>
      <c r="G99" t="n">
        <v>275</v>
      </c>
      <c r="H99" t="n">
        <v>171</v>
      </c>
      <c r="I99" t="n">
        <v>680</v>
      </c>
      <c r="J99" t="n">
        <v>1423</v>
      </c>
      <c r="K99" t="n">
        <v>4141</v>
      </c>
      <c r="L99" t="n">
        <v>1588</v>
      </c>
      <c r="M99" t="n">
        <v>3</v>
      </c>
      <c r="N99" t="n">
        <v>0</v>
      </c>
      <c r="O99" s="6" t="n">
        <v>9812</v>
      </c>
      <c r="P99">
        <f>SUM(C99:H99)</f>
        <v/>
      </c>
      <c r="Q99">
        <f>I99</f>
        <v/>
      </c>
      <c r="R99">
        <f>J99</f>
        <v/>
      </c>
      <c r="S99">
        <f>SUM(K99:N99)</f>
        <v/>
      </c>
      <c r="T99">
        <f>SUM(P99:S99)</f>
        <v/>
      </c>
      <c r="U99" s="3">
        <f>IF(T99=0,"",P99/T99)</f>
        <v/>
      </c>
      <c r="V99" s="3">
        <f>IF(T99=0,"",Q99/T99)</f>
        <v/>
      </c>
      <c r="W99" s="3">
        <f>IF(T99=0,"",R99/T99)</f>
        <v/>
      </c>
      <c r="X99" s="3">
        <f>IF(T99=0,"",S99/T99)</f>
        <v/>
      </c>
      <c r="Y99" s="4">
        <f>IF(T99=0,"",U99*Pesos!$B$2+V99*Pesos!$B$3+W99*Pesos!$B$4+X99*Pesos!$B$5)</f>
        <v/>
      </c>
    </row>
    <row r="100">
      <c r="A100" s="2" t="n">
        <v>99</v>
      </c>
      <c r="B100" t="n">
        <v>6</v>
      </c>
      <c r="C100" t="n">
        <v>407</v>
      </c>
      <c r="D100" t="n">
        <v>456</v>
      </c>
      <c r="E100" t="n">
        <v>407</v>
      </c>
      <c r="F100" t="n">
        <v>315</v>
      </c>
      <c r="G100" t="n">
        <v>217</v>
      </c>
      <c r="H100" t="n">
        <v>284</v>
      </c>
      <c r="I100" t="n">
        <v>661</v>
      </c>
      <c r="J100" t="n">
        <v>791</v>
      </c>
      <c r="K100" t="n">
        <v>2222</v>
      </c>
      <c r="L100" t="n">
        <v>1213</v>
      </c>
      <c r="M100" t="n">
        <v>109</v>
      </c>
      <c r="N100" t="n">
        <v>9</v>
      </c>
      <c r="O100" s="6" t="n">
        <v>7091</v>
      </c>
      <c r="P100">
        <f>SUM(C100:H100)</f>
        <v/>
      </c>
      <c r="Q100">
        <f>I100</f>
        <v/>
      </c>
      <c r="R100">
        <f>J100</f>
        <v/>
      </c>
      <c r="S100">
        <f>SUM(K100:N100)</f>
        <v/>
      </c>
      <c r="T100">
        <f>SUM(P100:S100)</f>
        <v/>
      </c>
      <c r="U100" s="3">
        <f>IF(T100=0,"",P100/T100)</f>
        <v/>
      </c>
      <c r="V100" s="3">
        <f>IF(T100=0,"",Q100/T100)</f>
        <v/>
      </c>
      <c r="W100" s="3">
        <f>IF(T100=0,"",R100/T100)</f>
        <v/>
      </c>
      <c r="X100" s="3">
        <f>IF(T100=0,"",S100/T100)</f>
        <v/>
      </c>
      <c r="Y100" s="4">
        <f>IF(T100=0,"",U100*Pesos!$B$2+V100*Pesos!$B$3+W100*Pesos!$B$4+X100*Pesos!$B$5)</f>
        <v/>
      </c>
    </row>
    <row r="101">
      <c r="A101" s="2" t="n">
        <v>100</v>
      </c>
      <c r="B101" t="n">
        <v>5</v>
      </c>
      <c r="C101" t="n">
        <v>336</v>
      </c>
      <c r="D101" t="n">
        <v>378</v>
      </c>
      <c r="E101" t="n">
        <v>368</v>
      </c>
      <c r="F101" t="n">
        <v>386</v>
      </c>
      <c r="G101" t="n">
        <v>837</v>
      </c>
      <c r="H101" t="n">
        <v>244</v>
      </c>
      <c r="I101" t="n">
        <v>1591</v>
      </c>
      <c r="J101" t="n">
        <v>2534</v>
      </c>
      <c r="K101" t="n">
        <v>1755</v>
      </c>
      <c r="L101" t="n">
        <v>884</v>
      </c>
      <c r="M101" t="n">
        <v>53</v>
      </c>
      <c r="N101" t="n">
        <v>0</v>
      </c>
      <c r="O101" s="6" t="n">
        <v>9366</v>
      </c>
      <c r="P101">
        <f>SUM(C101:H101)</f>
        <v/>
      </c>
      <c r="Q101">
        <f>I101</f>
        <v/>
      </c>
      <c r="R101">
        <f>J101</f>
        <v/>
      </c>
      <c r="S101">
        <f>SUM(K101:N101)</f>
        <v/>
      </c>
      <c r="T101">
        <f>SUM(P101:S101)</f>
        <v/>
      </c>
      <c r="U101" s="3">
        <f>IF(T101=0,"",P101/T101)</f>
        <v/>
      </c>
      <c r="V101" s="3">
        <f>IF(T101=0,"",Q101/T101)</f>
        <v/>
      </c>
      <c r="W101" s="3">
        <f>IF(T101=0,"",R101/T101)</f>
        <v/>
      </c>
      <c r="X101" s="3">
        <f>IF(T101=0,"",S101/T101)</f>
        <v/>
      </c>
      <c r="Y101" s="4">
        <f>IF(T101=0,"",U101*Pesos!$B$2+V101*Pesos!$B$3+W101*Pesos!$B$4+X101*Pesos!$B$5)</f>
        <v/>
      </c>
    </row>
    <row r="102">
      <c r="A102" s="2" t="n">
        <v>101</v>
      </c>
      <c r="B102" t="n">
        <v>8</v>
      </c>
      <c r="C102" t="n">
        <v>121</v>
      </c>
      <c r="D102" t="n">
        <v>148</v>
      </c>
      <c r="E102" t="n">
        <v>180</v>
      </c>
      <c r="F102" t="n">
        <v>93</v>
      </c>
      <c r="G102" t="n">
        <v>127</v>
      </c>
      <c r="H102" t="n">
        <v>80</v>
      </c>
      <c r="I102" t="n">
        <v>528</v>
      </c>
      <c r="J102" t="n">
        <v>8818</v>
      </c>
      <c r="K102" t="n">
        <v>9</v>
      </c>
      <c r="L102" t="n">
        <v>0</v>
      </c>
      <c r="M102" t="n">
        <v>0</v>
      </c>
      <c r="N102" t="n">
        <v>0</v>
      </c>
      <c r="O102" s="6" t="n">
        <v>10104</v>
      </c>
      <c r="P102">
        <f>SUM(C102:H102)</f>
        <v/>
      </c>
      <c r="Q102">
        <f>I102</f>
        <v/>
      </c>
      <c r="R102">
        <f>J102</f>
        <v/>
      </c>
      <c r="S102">
        <f>SUM(K102:N102)</f>
        <v/>
      </c>
      <c r="T102">
        <f>SUM(P102:S102)</f>
        <v/>
      </c>
      <c r="U102" s="3">
        <f>IF(T102=0,"",P102/T102)</f>
        <v/>
      </c>
      <c r="V102" s="3">
        <f>IF(T102=0,"",Q102/T102)</f>
        <v/>
      </c>
      <c r="W102" s="3">
        <f>IF(T102=0,"",R102/T102)</f>
        <v/>
      </c>
      <c r="X102" s="3">
        <f>IF(T102=0,"",S102/T102)</f>
        <v/>
      </c>
      <c r="Y102" s="4">
        <f>IF(T102=0,"",U102*Pesos!$B$2+V102*Pesos!$B$3+W102*Pesos!$B$4+X102*Pesos!$B$5)</f>
        <v/>
      </c>
    </row>
    <row r="103">
      <c r="A103" s="2" t="n">
        <v>102</v>
      </c>
      <c r="B103" t="n">
        <v>6</v>
      </c>
      <c r="C103" t="n">
        <v>559</v>
      </c>
      <c r="D103" t="n">
        <v>1190</v>
      </c>
      <c r="E103" t="n">
        <v>1357</v>
      </c>
      <c r="F103" t="n">
        <v>324</v>
      </c>
      <c r="G103" t="n">
        <v>232</v>
      </c>
      <c r="H103" t="n">
        <v>184</v>
      </c>
      <c r="I103" t="n">
        <v>2319</v>
      </c>
      <c r="J103" t="n">
        <v>4994</v>
      </c>
      <c r="K103" t="n">
        <v>0</v>
      </c>
      <c r="L103" t="n">
        <v>0</v>
      </c>
      <c r="M103" t="n">
        <v>0</v>
      </c>
      <c r="N103" t="n">
        <v>0</v>
      </c>
      <c r="O103" s="6" t="n">
        <v>11159</v>
      </c>
      <c r="P103">
        <f>SUM(C103:H103)</f>
        <v/>
      </c>
      <c r="Q103">
        <f>I103</f>
        <v/>
      </c>
      <c r="R103">
        <f>J103</f>
        <v/>
      </c>
      <c r="S103">
        <f>SUM(K103:N103)</f>
        <v/>
      </c>
      <c r="T103">
        <f>SUM(P103:S103)</f>
        <v/>
      </c>
      <c r="U103" s="3">
        <f>IF(T103=0,"",P103/T103)</f>
        <v/>
      </c>
      <c r="V103" s="3">
        <f>IF(T103=0,"",Q103/T103)</f>
        <v/>
      </c>
      <c r="W103" s="3">
        <f>IF(T103=0,"",R103/T103)</f>
        <v/>
      </c>
      <c r="X103" s="3">
        <f>IF(T103=0,"",S103/T103)</f>
        <v/>
      </c>
      <c r="Y103" s="4">
        <f>IF(T103=0,"",U103*Pesos!$B$2+V103*Pesos!$B$3+W103*Pesos!$B$4+X103*Pesos!$B$5)</f>
        <v/>
      </c>
    </row>
    <row r="104">
      <c r="A104" s="2" t="n">
        <v>103</v>
      </c>
      <c r="B104" t="n">
        <v>9</v>
      </c>
      <c r="C104" t="n">
        <v>729</v>
      </c>
      <c r="D104" t="n">
        <v>632</v>
      </c>
      <c r="E104" t="n">
        <v>464</v>
      </c>
      <c r="F104" t="n">
        <v>807</v>
      </c>
      <c r="G104" t="n">
        <v>517</v>
      </c>
      <c r="H104" t="n">
        <v>505</v>
      </c>
      <c r="I104" t="n">
        <v>786</v>
      </c>
      <c r="J104" t="n">
        <v>1413</v>
      </c>
      <c r="K104" t="n">
        <v>5063</v>
      </c>
      <c r="L104" t="n">
        <v>74</v>
      </c>
      <c r="M104" t="n">
        <v>0</v>
      </c>
      <c r="N104" t="n">
        <v>0</v>
      </c>
      <c r="O104" s="6" t="n">
        <v>10990</v>
      </c>
      <c r="P104">
        <f>SUM(C104:H104)</f>
        <v/>
      </c>
      <c r="Q104">
        <f>I104</f>
        <v/>
      </c>
      <c r="R104">
        <f>J104</f>
        <v/>
      </c>
      <c r="S104">
        <f>SUM(K104:N104)</f>
        <v/>
      </c>
      <c r="T104">
        <f>SUM(P104:S104)</f>
        <v/>
      </c>
      <c r="U104" s="3">
        <f>IF(T104=0,"",P104/T104)</f>
        <v/>
      </c>
      <c r="V104" s="3">
        <f>IF(T104=0,"",Q104/T104)</f>
        <v/>
      </c>
      <c r="W104" s="3">
        <f>IF(T104=0,"",R104/T104)</f>
        <v/>
      </c>
      <c r="X104" s="3">
        <f>IF(T104=0,"",S104/T104)</f>
        <v/>
      </c>
      <c r="Y104" s="4">
        <f>IF(T104=0,"",U104*Pesos!$B$2+V104*Pesos!$B$3+W104*Pesos!$B$4+X104*Pesos!$B$5)</f>
        <v/>
      </c>
    </row>
    <row r="105">
      <c r="A105" s="2" t="n">
        <v>104</v>
      </c>
      <c r="B105" t="n">
        <v>8</v>
      </c>
      <c r="C105" t="n">
        <v>518</v>
      </c>
      <c r="D105" t="n">
        <v>385</v>
      </c>
      <c r="E105" t="n">
        <v>692</v>
      </c>
      <c r="F105" t="n">
        <v>416</v>
      </c>
      <c r="G105" t="n">
        <v>336</v>
      </c>
      <c r="H105" t="n">
        <v>388</v>
      </c>
      <c r="I105" t="n">
        <v>1108</v>
      </c>
      <c r="J105" t="n">
        <v>1218</v>
      </c>
      <c r="K105" t="n">
        <v>4397</v>
      </c>
      <c r="L105" t="n">
        <v>735</v>
      </c>
      <c r="M105" t="n">
        <v>0</v>
      </c>
      <c r="N105" t="n">
        <v>0</v>
      </c>
      <c r="O105" s="6" t="n">
        <v>10193</v>
      </c>
      <c r="P105">
        <f>SUM(C105:H105)</f>
        <v/>
      </c>
      <c r="Q105">
        <f>I105</f>
        <v/>
      </c>
      <c r="R105">
        <f>J105</f>
        <v/>
      </c>
      <c r="S105">
        <f>SUM(K105:N105)</f>
        <v/>
      </c>
      <c r="T105">
        <f>SUM(P105:S105)</f>
        <v/>
      </c>
      <c r="U105" s="3">
        <f>IF(T105=0,"",P105/T105)</f>
        <v/>
      </c>
      <c r="V105" s="3">
        <f>IF(T105=0,"",Q105/T105)</f>
        <v/>
      </c>
      <c r="W105" s="3">
        <f>IF(T105=0,"",R105/T105)</f>
        <v/>
      </c>
      <c r="X105" s="3">
        <f>IF(T105=0,"",S105/T105)</f>
        <v/>
      </c>
      <c r="Y105" s="4">
        <f>IF(T105=0,"",U105*Pesos!$B$2+V105*Pesos!$B$3+W105*Pesos!$B$4+X105*Pesos!$B$5)</f>
        <v/>
      </c>
    </row>
    <row r="106">
      <c r="A106" s="2" t="n">
        <v>105</v>
      </c>
      <c r="B106" t="n">
        <v>9</v>
      </c>
      <c r="C106" t="n">
        <v>1525</v>
      </c>
      <c r="D106" t="n">
        <v>1732</v>
      </c>
      <c r="E106" t="n">
        <v>1998</v>
      </c>
      <c r="F106" t="n">
        <v>1044</v>
      </c>
      <c r="G106" t="n">
        <v>859</v>
      </c>
      <c r="H106" t="n">
        <v>468</v>
      </c>
      <c r="I106" t="n">
        <v>2505</v>
      </c>
      <c r="J106" t="n">
        <v>3854</v>
      </c>
      <c r="K106" t="n">
        <v>2949</v>
      </c>
      <c r="L106" t="n">
        <v>464</v>
      </c>
      <c r="M106" t="n">
        <v>50</v>
      </c>
      <c r="N106" t="n">
        <v>0</v>
      </c>
      <c r="O106" s="6" t="n">
        <v>17448</v>
      </c>
      <c r="P106">
        <f>SUM(C106:H106)</f>
        <v/>
      </c>
      <c r="Q106">
        <f>I106</f>
        <v/>
      </c>
      <c r="R106">
        <f>J106</f>
        <v/>
      </c>
      <c r="S106">
        <f>SUM(K106:N106)</f>
        <v/>
      </c>
      <c r="T106">
        <f>SUM(P106:S106)</f>
        <v/>
      </c>
      <c r="U106" s="3">
        <f>IF(T106=0,"",P106/T106)</f>
        <v/>
      </c>
      <c r="V106" s="3">
        <f>IF(T106=0,"",Q106/T106)</f>
        <v/>
      </c>
      <c r="W106" s="3">
        <f>IF(T106=0,"",R106/T106)</f>
        <v/>
      </c>
      <c r="X106" s="3">
        <f>IF(T106=0,"",S106/T106)</f>
        <v/>
      </c>
      <c r="Y106" s="4">
        <f>IF(T106=0,"",U106*Pesos!$B$2+V106*Pesos!$B$3+W106*Pesos!$B$4+X106*Pesos!$B$5)</f>
        <v/>
      </c>
    </row>
    <row r="107">
      <c r="A107" s="2" t="n">
        <v>106</v>
      </c>
      <c r="B107" t="n">
        <v>8</v>
      </c>
      <c r="C107" t="n">
        <v>2124</v>
      </c>
      <c r="D107" t="n">
        <v>1632</v>
      </c>
      <c r="E107" t="n">
        <v>1504</v>
      </c>
      <c r="F107" t="n">
        <v>1384</v>
      </c>
      <c r="G107" t="n">
        <v>1339</v>
      </c>
      <c r="H107" t="n">
        <v>964</v>
      </c>
      <c r="I107" t="n">
        <v>3038</v>
      </c>
      <c r="J107" t="n">
        <v>2393</v>
      </c>
      <c r="K107" t="n">
        <v>1073</v>
      </c>
      <c r="L107" t="n">
        <v>385</v>
      </c>
      <c r="M107" t="n">
        <v>210</v>
      </c>
      <c r="N107" t="n">
        <v>28</v>
      </c>
      <c r="O107" s="6" t="n">
        <v>16074</v>
      </c>
      <c r="P107">
        <f>SUM(C107:H107)</f>
        <v/>
      </c>
      <c r="Q107">
        <f>I107</f>
        <v/>
      </c>
      <c r="R107">
        <f>J107</f>
        <v/>
      </c>
      <c r="S107">
        <f>SUM(K107:N107)</f>
        <v/>
      </c>
      <c r="T107">
        <f>SUM(P107:S107)</f>
        <v/>
      </c>
      <c r="U107" s="3">
        <f>IF(T107=0,"",P107/T107)</f>
        <v/>
      </c>
      <c r="V107" s="3">
        <f>IF(T107=0,"",Q107/T107)</f>
        <v/>
      </c>
      <c r="W107" s="3">
        <f>IF(T107=0,"",R107/T107)</f>
        <v/>
      </c>
      <c r="X107" s="3">
        <f>IF(T107=0,"",S107/T107)</f>
        <v/>
      </c>
      <c r="Y107" s="4">
        <f>IF(T107=0,"",U107*Pesos!$B$2+V107*Pesos!$B$3+W107*Pesos!$B$4+X107*Pesos!$B$5)</f>
        <v/>
      </c>
    </row>
    <row r="108">
      <c r="A108" s="2" t="n">
        <v>107</v>
      </c>
      <c r="B108" t="n">
        <v>6</v>
      </c>
      <c r="C108" t="n">
        <v>612</v>
      </c>
      <c r="D108" t="n">
        <v>721</v>
      </c>
      <c r="E108" t="n">
        <v>820</v>
      </c>
      <c r="F108" t="n">
        <v>589</v>
      </c>
      <c r="G108" t="n">
        <v>447</v>
      </c>
      <c r="H108" t="n">
        <v>388</v>
      </c>
      <c r="I108" t="n">
        <v>1422</v>
      </c>
      <c r="J108" t="n">
        <v>1251</v>
      </c>
      <c r="K108" t="n">
        <v>725</v>
      </c>
      <c r="L108" t="n">
        <v>256</v>
      </c>
      <c r="M108" t="n">
        <v>130</v>
      </c>
      <c r="N108" t="n">
        <v>39</v>
      </c>
      <c r="O108" s="6" t="n">
        <v>7400</v>
      </c>
      <c r="P108">
        <f>SUM(C108:H108)</f>
        <v/>
      </c>
      <c r="Q108">
        <f>I108</f>
        <v/>
      </c>
      <c r="R108">
        <f>J108</f>
        <v/>
      </c>
      <c r="S108">
        <f>SUM(K108:N108)</f>
        <v/>
      </c>
      <c r="T108">
        <f>SUM(P108:S108)</f>
        <v/>
      </c>
      <c r="U108" s="3">
        <f>IF(T108=0,"",P108/T108)</f>
        <v/>
      </c>
      <c r="V108" s="3">
        <f>IF(T108=0,"",Q108/T108)</f>
        <v/>
      </c>
      <c r="W108" s="3">
        <f>IF(T108=0,"",R108/T108)</f>
        <v/>
      </c>
      <c r="X108" s="3">
        <f>IF(T108=0,"",S108/T108)</f>
        <v/>
      </c>
      <c r="Y108" s="4">
        <f>IF(T108=0,"",U108*Pesos!$B$2+V108*Pesos!$B$3+W108*Pesos!$B$4+X108*Pesos!$B$5)</f>
        <v/>
      </c>
    </row>
    <row r="109">
      <c r="A109" s="2" t="n">
        <v>108</v>
      </c>
      <c r="B109" t="n">
        <v>6</v>
      </c>
      <c r="C109" t="n">
        <v>1080</v>
      </c>
      <c r="D109" t="n">
        <v>849</v>
      </c>
      <c r="E109" t="n">
        <v>1090</v>
      </c>
      <c r="F109" t="n">
        <v>858</v>
      </c>
      <c r="G109" t="n">
        <v>572</v>
      </c>
      <c r="H109" t="n">
        <v>743</v>
      </c>
      <c r="I109" t="n">
        <v>1663</v>
      </c>
      <c r="J109" t="n">
        <v>1742</v>
      </c>
      <c r="K109" t="n">
        <v>1420</v>
      </c>
      <c r="L109" t="n">
        <v>263</v>
      </c>
      <c r="M109" t="n">
        <v>119</v>
      </c>
      <c r="N109" t="n">
        <v>5</v>
      </c>
      <c r="O109" s="6" t="n">
        <v>10404</v>
      </c>
      <c r="P109">
        <f>SUM(C109:H109)</f>
        <v/>
      </c>
      <c r="Q109">
        <f>I109</f>
        <v/>
      </c>
      <c r="R109">
        <f>J109</f>
        <v/>
      </c>
      <c r="S109">
        <f>SUM(K109:N109)</f>
        <v/>
      </c>
      <c r="T109">
        <f>SUM(P109:S109)</f>
        <v/>
      </c>
      <c r="U109" s="3">
        <f>IF(T109=0,"",P109/T109)</f>
        <v/>
      </c>
      <c r="V109" s="3">
        <f>IF(T109=0,"",Q109/T109)</f>
        <v/>
      </c>
      <c r="W109" s="3">
        <f>IF(T109=0,"",R109/T109)</f>
        <v/>
      </c>
      <c r="X109" s="3">
        <f>IF(T109=0,"",S109/T109)</f>
        <v/>
      </c>
      <c r="Y109" s="4">
        <f>IF(T109=0,"",U109*Pesos!$B$2+V109*Pesos!$B$3+W109*Pesos!$B$4+X109*Pesos!$B$5)</f>
        <v/>
      </c>
    </row>
    <row r="110">
      <c r="A110" s="2" t="n">
        <v>109</v>
      </c>
      <c r="B110" t="n">
        <v>9</v>
      </c>
      <c r="C110" t="n">
        <v>2385</v>
      </c>
      <c r="D110" t="n">
        <v>2323</v>
      </c>
      <c r="E110" t="n">
        <v>2252</v>
      </c>
      <c r="F110" t="n">
        <v>1766</v>
      </c>
      <c r="G110" t="n">
        <v>1824</v>
      </c>
      <c r="H110" t="n">
        <v>1516</v>
      </c>
      <c r="I110" t="n">
        <v>4091</v>
      </c>
      <c r="J110" t="n">
        <v>3899</v>
      </c>
      <c r="K110" t="n">
        <v>1339</v>
      </c>
      <c r="L110" t="n">
        <v>196</v>
      </c>
      <c r="M110" t="n">
        <v>92</v>
      </c>
      <c r="N110" t="n">
        <v>21</v>
      </c>
      <c r="O110" s="6" t="n">
        <v>21704</v>
      </c>
      <c r="P110">
        <f>SUM(C110:H110)</f>
        <v/>
      </c>
      <c r="Q110">
        <f>I110</f>
        <v/>
      </c>
      <c r="R110">
        <f>J110</f>
        <v/>
      </c>
      <c r="S110">
        <f>SUM(K110:N110)</f>
        <v/>
      </c>
      <c r="T110">
        <f>SUM(P110:S110)</f>
        <v/>
      </c>
      <c r="U110" s="3">
        <f>IF(T110=0,"",P110/T110)</f>
        <v/>
      </c>
      <c r="V110" s="3">
        <f>IF(T110=0,"",Q110/T110)</f>
        <v/>
      </c>
      <c r="W110" s="3">
        <f>IF(T110=0,"",R110/T110)</f>
        <v/>
      </c>
      <c r="X110" s="3">
        <f>IF(T110=0,"",S110/T110)</f>
        <v/>
      </c>
      <c r="Y110" s="4">
        <f>IF(T110=0,"",U110*Pesos!$B$2+V110*Pesos!$B$3+W110*Pesos!$B$4+X110*Pesos!$B$5)</f>
        <v/>
      </c>
    </row>
    <row r="111">
      <c r="A111" s="2" t="n">
        <v>110</v>
      </c>
      <c r="B111" t="n">
        <v>5</v>
      </c>
      <c r="C111" t="n">
        <v>924</v>
      </c>
      <c r="D111" t="n">
        <v>750</v>
      </c>
      <c r="E111" t="n">
        <v>816</v>
      </c>
      <c r="F111" t="n">
        <v>643</v>
      </c>
      <c r="G111" t="n">
        <v>493</v>
      </c>
      <c r="H111" t="n">
        <v>481</v>
      </c>
      <c r="I111" t="n">
        <v>2121</v>
      </c>
      <c r="J111" t="n">
        <v>3255</v>
      </c>
      <c r="K111" t="n">
        <v>696</v>
      </c>
      <c r="L111" t="n">
        <v>29</v>
      </c>
      <c r="M111" t="n">
        <v>5</v>
      </c>
      <c r="N111" t="n">
        <v>0</v>
      </c>
      <c r="O111" s="6" t="n">
        <v>10213</v>
      </c>
      <c r="P111">
        <f>SUM(C111:H111)</f>
        <v/>
      </c>
      <c r="Q111">
        <f>I111</f>
        <v/>
      </c>
      <c r="R111">
        <f>J111</f>
        <v/>
      </c>
      <c r="S111">
        <f>SUM(K111:N111)</f>
        <v/>
      </c>
      <c r="T111">
        <f>SUM(P111:S111)</f>
        <v/>
      </c>
      <c r="U111" s="3">
        <f>IF(T111=0,"",P111/T111)</f>
        <v/>
      </c>
      <c r="V111" s="3">
        <f>IF(T111=0,"",Q111/T111)</f>
        <v/>
      </c>
      <c r="W111" s="3">
        <f>IF(T111=0,"",R111/T111)</f>
        <v/>
      </c>
      <c r="X111" s="3">
        <f>IF(T111=0,"",S111/T111)</f>
        <v/>
      </c>
      <c r="Y111" s="4">
        <f>IF(T111=0,"",U111*Pesos!$B$2+V111*Pesos!$B$3+W111*Pesos!$B$4+X111*Pesos!$B$5)</f>
        <v/>
      </c>
    </row>
    <row r="112">
      <c r="A112" s="2" t="n">
        <v>111</v>
      </c>
      <c r="B112" t="n">
        <v>8</v>
      </c>
      <c r="C112" t="n">
        <v>347</v>
      </c>
      <c r="D112" t="n">
        <v>397</v>
      </c>
      <c r="E112" t="n">
        <v>316</v>
      </c>
      <c r="F112" t="n">
        <v>260</v>
      </c>
      <c r="G112" t="n">
        <v>217</v>
      </c>
      <c r="H112" t="n">
        <v>162</v>
      </c>
      <c r="I112" t="n">
        <v>752</v>
      </c>
      <c r="J112" t="n">
        <v>2065</v>
      </c>
      <c r="K112" t="n">
        <v>3048</v>
      </c>
      <c r="L112" t="n">
        <v>783</v>
      </c>
      <c r="M112" t="n">
        <v>48</v>
      </c>
      <c r="N112" t="n">
        <v>1</v>
      </c>
      <c r="O112" s="6" t="n">
        <v>8396</v>
      </c>
      <c r="P112">
        <f>SUM(C112:H112)</f>
        <v/>
      </c>
      <c r="Q112">
        <f>I112</f>
        <v/>
      </c>
      <c r="R112">
        <f>J112</f>
        <v/>
      </c>
      <c r="S112">
        <f>SUM(K112:N112)</f>
        <v/>
      </c>
      <c r="T112">
        <f>SUM(P112:S112)</f>
        <v/>
      </c>
      <c r="U112" s="3">
        <f>IF(T112=0,"",P112/T112)</f>
        <v/>
      </c>
      <c r="V112" s="3">
        <f>IF(T112=0,"",Q112/T112)</f>
        <v/>
      </c>
      <c r="W112" s="3">
        <f>IF(T112=0,"",R112/T112)</f>
        <v/>
      </c>
      <c r="X112" s="3">
        <f>IF(T112=0,"",S112/T112)</f>
        <v/>
      </c>
      <c r="Y112" s="4">
        <f>IF(T112=0,"",U112*Pesos!$B$2+V112*Pesos!$B$3+W112*Pesos!$B$4+X112*Pesos!$B$5)</f>
        <v/>
      </c>
    </row>
    <row r="113">
      <c r="A113" s="2" t="n">
        <v>112</v>
      </c>
      <c r="B113" t="n">
        <v>10</v>
      </c>
      <c r="C113" t="n">
        <v>626</v>
      </c>
      <c r="D113" t="n">
        <v>594</v>
      </c>
      <c r="E113" t="n">
        <v>620</v>
      </c>
      <c r="F113" t="n">
        <v>471</v>
      </c>
      <c r="G113" t="n">
        <v>364</v>
      </c>
      <c r="H113" t="n">
        <v>611</v>
      </c>
      <c r="I113" t="n">
        <v>2289</v>
      </c>
      <c r="J113" t="n">
        <v>3691</v>
      </c>
      <c r="K113" t="n">
        <v>5706</v>
      </c>
      <c r="L113" t="n">
        <v>1283</v>
      </c>
      <c r="M113" t="n">
        <v>20</v>
      </c>
      <c r="N113" t="n">
        <v>0</v>
      </c>
      <c r="O113" s="6" t="n">
        <v>16275</v>
      </c>
      <c r="P113">
        <f>SUM(C113:H113)</f>
        <v/>
      </c>
      <c r="Q113">
        <f>I113</f>
        <v/>
      </c>
      <c r="R113">
        <f>J113</f>
        <v/>
      </c>
      <c r="S113">
        <f>SUM(K113:N113)</f>
        <v/>
      </c>
      <c r="T113">
        <f>SUM(P113:S113)</f>
        <v/>
      </c>
      <c r="U113" s="3">
        <f>IF(T113=0,"",P113/T113)</f>
        <v/>
      </c>
      <c r="V113" s="3">
        <f>IF(T113=0,"",Q113/T113)</f>
        <v/>
      </c>
      <c r="W113" s="3">
        <f>IF(T113=0,"",R113/T113)</f>
        <v/>
      </c>
      <c r="X113" s="3">
        <f>IF(T113=0,"",S113/T113)</f>
        <v/>
      </c>
      <c r="Y113" s="4">
        <f>IF(T113=0,"",U113*Pesos!$B$2+V113*Pesos!$B$3+W113*Pesos!$B$4+X113*Pesos!$B$5)</f>
        <v/>
      </c>
    </row>
    <row r="114">
      <c r="A114" s="2" t="n">
        <v>113</v>
      </c>
      <c r="B114" t="n">
        <v>7</v>
      </c>
      <c r="C114" t="n">
        <v>217</v>
      </c>
      <c r="D114" t="n">
        <v>307</v>
      </c>
      <c r="E114" t="n">
        <v>303</v>
      </c>
      <c r="F114" t="n">
        <v>288</v>
      </c>
      <c r="G114" t="n">
        <v>275</v>
      </c>
      <c r="H114" t="n">
        <v>375</v>
      </c>
      <c r="I114" t="n">
        <v>484</v>
      </c>
      <c r="J114" t="n">
        <v>1007</v>
      </c>
      <c r="K114" t="n">
        <v>3608</v>
      </c>
      <c r="L114" t="n">
        <v>840</v>
      </c>
      <c r="M114" t="n">
        <v>6</v>
      </c>
      <c r="N114" t="n">
        <v>0</v>
      </c>
      <c r="O114" s="6" t="n">
        <v>7710</v>
      </c>
      <c r="P114">
        <f>SUM(C114:H114)</f>
        <v/>
      </c>
      <c r="Q114">
        <f>I114</f>
        <v/>
      </c>
      <c r="R114">
        <f>J114</f>
        <v/>
      </c>
      <c r="S114">
        <f>SUM(K114:N114)</f>
        <v/>
      </c>
      <c r="T114">
        <f>SUM(P114:S114)</f>
        <v/>
      </c>
      <c r="U114" s="3">
        <f>IF(T114=0,"",P114/T114)</f>
        <v/>
      </c>
      <c r="V114" s="3">
        <f>IF(T114=0,"",Q114/T114)</f>
        <v/>
      </c>
      <c r="W114" s="3">
        <f>IF(T114=0,"",R114/T114)</f>
        <v/>
      </c>
      <c r="X114" s="3">
        <f>IF(T114=0,"",S114/T114)</f>
        <v/>
      </c>
      <c r="Y114" s="4">
        <f>IF(T114=0,"",U114*Pesos!$B$2+V114*Pesos!$B$3+W114*Pesos!$B$4+X114*Pesos!$B$5)</f>
        <v/>
      </c>
    </row>
    <row r="115">
      <c r="A115" s="2" t="n">
        <v>114</v>
      </c>
      <c r="B115" t="n">
        <v>7</v>
      </c>
      <c r="C115" t="n">
        <v>297</v>
      </c>
      <c r="D115" t="n">
        <v>405</v>
      </c>
      <c r="E115" t="n">
        <v>373</v>
      </c>
      <c r="F115" t="n">
        <v>285</v>
      </c>
      <c r="G115" t="n">
        <v>200</v>
      </c>
      <c r="H115" t="n">
        <v>188</v>
      </c>
      <c r="I115" t="n">
        <v>744</v>
      </c>
      <c r="J115" t="n">
        <v>1804</v>
      </c>
      <c r="K115" t="n">
        <v>2915</v>
      </c>
      <c r="L115" t="n">
        <v>1879</v>
      </c>
      <c r="M115" t="n">
        <v>20</v>
      </c>
      <c r="N115" t="n">
        <v>0</v>
      </c>
      <c r="O115" s="6" t="n">
        <v>9110</v>
      </c>
      <c r="P115">
        <f>SUM(C115:H115)</f>
        <v/>
      </c>
      <c r="Q115">
        <f>I115</f>
        <v/>
      </c>
      <c r="R115">
        <f>J115</f>
        <v/>
      </c>
      <c r="S115">
        <f>SUM(K115:N115)</f>
        <v/>
      </c>
      <c r="T115">
        <f>SUM(P115:S115)</f>
        <v/>
      </c>
      <c r="U115" s="3">
        <f>IF(T115=0,"",P115/T115)</f>
        <v/>
      </c>
      <c r="V115" s="3">
        <f>IF(T115=0,"",Q115/T115)</f>
        <v/>
      </c>
      <c r="W115" s="3">
        <f>IF(T115=0,"",R115/T115)</f>
        <v/>
      </c>
      <c r="X115" s="3">
        <f>IF(T115=0,"",S115/T115)</f>
        <v/>
      </c>
      <c r="Y115" s="4">
        <f>IF(T115=0,"",U115*Pesos!$B$2+V115*Pesos!$B$3+W115*Pesos!$B$4+X115*Pesos!$B$5)</f>
        <v/>
      </c>
    </row>
    <row r="116">
      <c r="A116" s="2" t="n">
        <v>115</v>
      </c>
      <c r="B116" t="n">
        <v>8</v>
      </c>
      <c r="C116" t="n">
        <v>224</v>
      </c>
      <c r="D116" t="n">
        <v>320</v>
      </c>
      <c r="E116" t="n">
        <v>372</v>
      </c>
      <c r="F116" t="n">
        <v>289</v>
      </c>
      <c r="G116" t="n">
        <v>182</v>
      </c>
      <c r="H116" t="n">
        <v>158</v>
      </c>
      <c r="I116" t="n">
        <v>485</v>
      </c>
      <c r="J116" t="n">
        <v>1467</v>
      </c>
      <c r="K116" t="n">
        <v>2460</v>
      </c>
      <c r="L116" t="n">
        <v>793</v>
      </c>
      <c r="M116" t="n">
        <v>47</v>
      </c>
      <c r="N116" t="n">
        <v>14</v>
      </c>
      <c r="O116" s="6" t="n">
        <v>6811</v>
      </c>
      <c r="P116">
        <f>SUM(C116:H116)</f>
        <v/>
      </c>
      <c r="Q116">
        <f>I116</f>
        <v/>
      </c>
      <c r="R116">
        <f>J116</f>
        <v/>
      </c>
      <c r="S116">
        <f>SUM(K116:N116)</f>
        <v/>
      </c>
      <c r="T116">
        <f>SUM(P116:S116)</f>
        <v/>
      </c>
      <c r="U116" s="3">
        <f>IF(T116=0,"",P116/T116)</f>
        <v/>
      </c>
      <c r="V116" s="3">
        <f>IF(T116=0,"",Q116/T116)</f>
        <v/>
      </c>
      <c r="W116" s="3">
        <f>IF(T116=0,"",R116/T116)</f>
        <v/>
      </c>
      <c r="X116" s="3">
        <f>IF(T116=0,"",S116/T116)</f>
        <v/>
      </c>
      <c r="Y116" s="4">
        <f>IF(T116=0,"",U116*Pesos!$B$2+V116*Pesos!$B$3+W116*Pesos!$B$4+X116*Pesos!$B$5)</f>
        <v/>
      </c>
    </row>
    <row r="117">
      <c r="A117" s="2" t="n">
        <v>116</v>
      </c>
      <c r="B117" t="n">
        <v>7</v>
      </c>
      <c r="C117" t="n">
        <v>342</v>
      </c>
      <c r="D117" t="n">
        <v>344</v>
      </c>
      <c r="E117" t="n">
        <v>318</v>
      </c>
      <c r="F117" t="n">
        <v>195</v>
      </c>
      <c r="G117" t="n">
        <v>192</v>
      </c>
      <c r="H117" t="n">
        <v>172</v>
      </c>
      <c r="I117" t="n">
        <v>560</v>
      </c>
      <c r="J117" t="n">
        <v>1443</v>
      </c>
      <c r="K117" t="n">
        <v>2720</v>
      </c>
      <c r="L117" t="n">
        <v>1311</v>
      </c>
      <c r="M117" t="n">
        <v>15</v>
      </c>
      <c r="N117" t="n">
        <v>0</v>
      </c>
      <c r="O117" s="6" t="n">
        <v>7612</v>
      </c>
      <c r="P117">
        <f>SUM(C117:H117)</f>
        <v/>
      </c>
      <c r="Q117">
        <f>I117</f>
        <v/>
      </c>
      <c r="R117">
        <f>J117</f>
        <v/>
      </c>
      <c r="S117">
        <f>SUM(K117:N117)</f>
        <v/>
      </c>
      <c r="T117">
        <f>SUM(P117:S117)</f>
        <v/>
      </c>
      <c r="U117" s="3">
        <f>IF(T117=0,"",P117/T117)</f>
        <v/>
      </c>
      <c r="V117" s="3">
        <f>IF(T117=0,"",Q117/T117)</f>
        <v/>
      </c>
      <c r="W117" s="3">
        <f>IF(T117=0,"",R117/T117)</f>
        <v/>
      </c>
      <c r="X117" s="3">
        <f>IF(T117=0,"",S117/T117)</f>
        <v/>
      </c>
      <c r="Y117" s="4">
        <f>IF(T117=0,"",U117*Pesos!$B$2+V117*Pesos!$B$3+W117*Pesos!$B$4+X117*Pesos!$B$5)</f>
        <v/>
      </c>
    </row>
    <row r="118">
      <c r="A118" s="2" t="n">
        <v>117</v>
      </c>
      <c r="B118" t="n">
        <v>13</v>
      </c>
      <c r="C118" t="n">
        <v>533</v>
      </c>
      <c r="D118" t="n">
        <v>654</v>
      </c>
      <c r="E118" t="n">
        <v>585</v>
      </c>
      <c r="F118" t="n">
        <v>406</v>
      </c>
      <c r="G118" t="n">
        <v>285</v>
      </c>
      <c r="H118" t="n">
        <v>273</v>
      </c>
      <c r="I118" t="n">
        <v>1088</v>
      </c>
      <c r="J118" t="n">
        <v>2113</v>
      </c>
      <c r="K118" t="n">
        <v>4772</v>
      </c>
      <c r="L118" t="n">
        <v>3374</v>
      </c>
      <c r="M118" t="n">
        <v>11</v>
      </c>
      <c r="N118" t="n">
        <v>0</v>
      </c>
      <c r="O118" s="6" t="n">
        <v>14094</v>
      </c>
      <c r="P118">
        <f>SUM(C118:H118)</f>
        <v/>
      </c>
      <c r="Q118">
        <f>I118</f>
        <v/>
      </c>
      <c r="R118">
        <f>J118</f>
        <v/>
      </c>
      <c r="S118">
        <f>SUM(K118:N118)</f>
        <v/>
      </c>
      <c r="T118">
        <f>SUM(P118:S118)</f>
        <v/>
      </c>
      <c r="U118" s="3">
        <f>IF(T118=0,"",P118/T118)</f>
        <v/>
      </c>
      <c r="V118" s="3">
        <f>IF(T118=0,"",Q118/T118)</f>
        <v/>
      </c>
      <c r="W118" s="3">
        <f>IF(T118=0,"",R118/T118)</f>
        <v/>
      </c>
      <c r="X118" s="3">
        <f>IF(T118=0,"",S118/T118)</f>
        <v/>
      </c>
      <c r="Y118" s="4">
        <f>IF(T118=0,"",U118*Pesos!$B$2+V118*Pesos!$B$3+W118*Pesos!$B$4+X118*Pesos!$B$5)</f>
        <v/>
      </c>
    </row>
    <row r="119">
      <c r="A119" s="2" t="n">
        <v>118</v>
      </c>
      <c r="B119" t="n">
        <v>8</v>
      </c>
      <c r="C119" t="n">
        <v>304</v>
      </c>
      <c r="D119" t="n">
        <v>275</v>
      </c>
      <c r="E119" t="n">
        <v>304</v>
      </c>
      <c r="F119" t="n">
        <v>302</v>
      </c>
      <c r="G119" t="n">
        <v>229</v>
      </c>
      <c r="H119" t="n">
        <v>166</v>
      </c>
      <c r="I119" t="n">
        <v>729</v>
      </c>
      <c r="J119" t="n">
        <v>1727</v>
      </c>
      <c r="K119" t="n">
        <v>6513</v>
      </c>
      <c r="L119" t="n">
        <v>22</v>
      </c>
      <c r="M119" t="n">
        <v>0</v>
      </c>
      <c r="N119" t="n">
        <v>0</v>
      </c>
      <c r="O119" s="6" t="n">
        <v>10571</v>
      </c>
      <c r="P119">
        <f>SUM(C119:H119)</f>
        <v/>
      </c>
      <c r="Q119">
        <f>I119</f>
        <v/>
      </c>
      <c r="R119">
        <f>J119</f>
        <v/>
      </c>
      <c r="S119">
        <f>SUM(K119:N119)</f>
        <v/>
      </c>
      <c r="T119">
        <f>SUM(P119:S119)</f>
        <v/>
      </c>
      <c r="U119" s="3">
        <f>IF(T119=0,"",P119/T119)</f>
        <v/>
      </c>
      <c r="V119" s="3">
        <f>IF(T119=0,"",Q119/T119)</f>
        <v/>
      </c>
      <c r="W119" s="3">
        <f>IF(T119=0,"",R119/T119)</f>
        <v/>
      </c>
      <c r="X119" s="3">
        <f>IF(T119=0,"",S119/T119)</f>
        <v/>
      </c>
      <c r="Y119" s="4">
        <f>IF(T119=0,"",U119*Pesos!$B$2+V119*Pesos!$B$3+W119*Pesos!$B$4+X119*Pesos!$B$5)</f>
        <v/>
      </c>
    </row>
    <row r="120">
      <c r="A120" s="2" t="n">
        <v>119</v>
      </c>
      <c r="B120" t="n">
        <v>9</v>
      </c>
      <c r="C120" t="n">
        <v>338</v>
      </c>
      <c r="D120" t="n">
        <v>347</v>
      </c>
      <c r="E120" t="n">
        <v>393</v>
      </c>
      <c r="F120" t="n">
        <v>226</v>
      </c>
      <c r="G120" t="n">
        <v>269</v>
      </c>
      <c r="H120" t="n">
        <v>189</v>
      </c>
      <c r="I120" t="n">
        <v>824</v>
      </c>
      <c r="J120" t="n">
        <v>1940</v>
      </c>
      <c r="K120" t="n">
        <v>7257</v>
      </c>
      <c r="L120" t="n">
        <v>9</v>
      </c>
      <c r="M120" t="n">
        <v>0</v>
      </c>
      <c r="N120" t="n">
        <v>0</v>
      </c>
      <c r="O120" s="6" t="n">
        <v>11792</v>
      </c>
      <c r="P120">
        <f>SUM(C120:H120)</f>
        <v/>
      </c>
      <c r="Q120">
        <f>I120</f>
        <v/>
      </c>
      <c r="R120">
        <f>J120</f>
        <v/>
      </c>
      <c r="S120">
        <f>SUM(K120:N120)</f>
        <v/>
      </c>
      <c r="T120">
        <f>SUM(P120:S120)</f>
        <v/>
      </c>
      <c r="U120" s="3">
        <f>IF(T120=0,"",P120/T120)</f>
        <v/>
      </c>
      <c r="V120" s="3">
        <f>IF(T120=0,"",Q120/T120)</f>
        <v/>
      </c>
      <c r="W120" s="3">
        <f>IF(T120=0,"",R120/T120)</f>
        <v/>
      </c>
      <c r="X120" s="3">
        <f>IF(T120=0,"",S120/T120)</f>
        <v/>
      </c>
      <c r="Y120" s="4">
        <f>IF(T120=0,"",U120*Pesos!$B$2+V120*Pesos!$B$3+W120*Pesos!$B$4+X120*Pesos!$B$5)</f>
        <v/>
      </c>
    </row>
    <row r="121">
      <c r="A121" s="2" t="n">
        <v>120</v>
      </c>
      <c r="B121" t="n">
        <v>8</v>
      </c>
      <c r="C121" t="n">
        <v>358</v>
      </c>
      <c r="D121" t="n">
        <v>325</v>
      </c>
      <c r="E121" t="n">
        <v>393</v>
      </c>
      <c r="F121" t="n">
        <v>243</v>
      </c>
      <c r="G121" t="n">
        <v>189</v>
      </c>
      <c r="H121" t="n">
        <v>197</v>
      </c>
      <c r="I121" t="n">
        <v>808</v>
      </c>
      <c r="J121" t="n">
        <v>2167</v>
      </c>
      <c r="K121" t="n">
        <v>6465</v>
      </c>
      <c r="L121" t="n">
        <v>0</v>
      </c>
      <c r="M121" t="n">
        <v>0</v>
      </c>
      <c r="N121" t="n">
        <v>0</v>
      </c>
      <c r="O121" s="6" t="n">
        <v>11145</v>
      </c>
      <c r="P121">
        <f>SUM(C121:H121)</f>
        <v/>
      </c>
      <c r="Q121">
        <f>I121</f>
        <v/>
      </c>
      <c r="R121">
        <f>J121</f>
        <v/>
      </c>
      <c r="S121">
        <f>SUM(K121:N121)</f>
        <v/>
      </c>
      <c r="T121">
        <f>SUM(P121:S121)</f>
        <v/>
      </c>
      <c r="U121" s="3">
        <f>IF(T121=0,"",P121/T121)</f>
        <v/>
      </c>
      <c r="V121" s="3">
        <f>IF(T121=0,"",Q121/T121)</f>
        <v/>
      </c>
      <c r="W121" s="3">
        <f>IF(T121=0,"",R121/T121)</f>
        <v/>
      </c>
      <c r="X121" s="3">
        <f>IF(T121=0,"",S121/T121)</f>
        <v/>
      </c>
      <c r="Y121" s="4">
        <f>IF(T121=0,"",U121*Pesos!$B$2+V121*Pesos!$B$3+W121*Pesos!$B$4+X121*Pesos!$B$5)</f>
        <v/>
      </c>
    </row>
    <row r="122">
      <c r="A122" s="2" t="n">
        <v>121</v>
      </c>
      <c r="B122" t="n">
        <v>8</v>
      </c>
      <c r="C122" t="n">
        <v>288</v>
      </c>
      <c r="D122" t="n">
        <v>319</v>
      </c>
      <c r="E122" t="n">
        <v>300</v>
      </c>
      <c r="F122" t="n">
        <v>251</v>
      </c>
      <c r="G122" t="n">
        <v>244</v>
      </c>
      <c r="H122" t="n">
        <v>173</v>
      </c>
      <c r="I122" t="n">
        <v>705</v>
      </c>
      <c r="J122" t="n">
        <v>1694</v>
      </c>
      <c r="K122" t="n">
        <v>6237</v>
      </c>
      <c r="L122" t="n">
        <v>0</v>
      </c>
      <c r="M122" t="n">
        <v>0</v>
      </c>
      <c r="N122" t="n">
        <v>0</v>
      </c>
      <c r="O122" s="6" t="n">
        <v>10211</v>
      </c>
      <c r="P122">
        <f>SUM(C122:H122)</f>
        <v/>
      </c>
      <c r="Q122">
        <f>I122</f>
        <v/>
      </c>
      <c r="R122">
        <f>J122</f>
        <v/>
      </c>
      <c r="S122">
        <f>SUM(K122:N122)</f>
        <v/>
      </c>
      <c r="T122">
        <f>SUM(P122:S122)</f>
        <v/>
      </c>
      <c r="U122" s="3">
        <f>IF(T122=0,"",P122/T122)</f>
        <v/>
      </c>
      <c r="V122" s="3">
        <f>IF(T122=0,"",Q122/T122)</f>
        <v/>
      </c>
      <c r="W122" s="3">
        <f>IF(T122=0,"",R122/T122)</f>
        <v/>
      </c>
      <c r="X122" s="3">
        <f>IF(T122=0,"",S122/T122)</f>
        <v/>
      </c>
      <c r="Y122" s="4">
        <f>IF(T122=0,"",U122*Pesos!$B$2+V122*Pesos!$B$3+W122*Pesos!$B$4+X122*Pesos!$B$5)</f>
        <v/>
      </c>
    </row>
    <row r="123">
      <c r="A123" s="2" t="n">
        <v>122</v>
      </c>
      <c r="B123" t="n">
        <v>8</v>
      </c>
      <c r="C123" t="n">
        <v>290</v>
      </c>
      <c r="D123" t="n">
        <v>244</v>
      </c>
      <c r="E123" t="n">
        <v>218</v>
      </c>
      <c r="F123" t="n">
        <v>198</v>
      </c>
      <c r="G123" t="n">
        <v>166</v>
      </c>
      <c r="H123" t="n">
        <v>117</v>
      </c>
      <c r="I123" t="n">
        <v>604</v>
      </c>
      <c r="J123" t="n">
        <v>1447</v>
      </c>
      <c r="K123" t="n">
        <v>7065</v>
      </c>
      <c r="L123" t="n">
        <v>11</v>
      </c>
      <c r="M123" t="n">
        <v>0</v>
      </c>
      <c r="N123" t="n">
        <v>0</v>
      </c>
      <c r="O123" s="6" t="n">
        <v>10360</v>
      </c>
      <c r="P123">
        <f>SUM(C123:H123)</f>
        <v/>
      </c>
      <c r="Q123">
        <f>I123</f>
        <v/>
      </c>
      <c r="R123">
        <f>J123</f>
        <v/>
      </c>
      <c r="S123">
        <f>SUM(K123:N123)</f>
        <v/>
      </c>
      <c r="T123">
        <f>SUM(P123:S123)</f>
        <v/>
      </c>
      <c r="U123" s="3">
        <f>IF(T123=0,"",P123/T123)</f>
        <v/>
      </c>
      <c r="V123" s="3">
        <f>IF(T123=0,"",Q123/T123)</f>
        <v/>
      </c>
      <c r="W123" s="3">
        <f>IF(T123=0,"",R123/T123)</f>
        <v/>
      </c>
      <c r="X123" s="3">
        <f>IF(T123=0,"",S123/T123)</f>
        <v/>
      </c>
      <c r="Y123" s="4">
        <f>IF(T123=0,"",U123*Pesos!$B$2+V123*Pesos!$B$3+W123*Pesos!$B$4+X123*Pesos!$B$5)</f>
        <v/>
      </c>
    </row>
    <row r="124">
      <c r="A124" s="2" t="n">
        <v>123</v>
      </c>
      <c r="B124" t="n">
        <v>8</v>
      </c>
      <c r="C124" t="n">
        <v>474</v>
      </c>
      <c r="D124" t="n">
        <v>418</v>
      </c>
      <c r="E124" t="n">
        <v>544</v>
      </c>
      <c r="F124" t="n">
        <v>698</v>
      </c>
      <c r="G124" t="n">
        <v>615</v>
      </c>
      <c r="H124" t="n">
        <v>422</v>
      </c>
      <c r="I124" t="n">
        <v>2760</v>
      </c>
      <c r="J124" t="n">
        <v>8141</v>
      </c>
      <c r="K124" t="n">
        <v>223</v>
      </c>
      <c r="L124" t="n">
        <v>0</v>
      </c>
      <c r="M124" t="n">
        <v>0</v>
      </c>
      <c r="N124" t="n">
        <v>0</v>
      </c>
      <c r="O124" s="6" t="n">
        <v>14295</v>
      </c>
      <c r="P124">
        <f>SUM(C124:H124)</f>
        <v/>
      </c>
      <c r="Q124">
        <f>I124</f>
        <v/>
      </c>
      <c r="R124">
        <f>J124</f>
        <v/>
      </c>
      <c r="S124">
        <f>SUM(K124:N124)</f>
        <v/>
      </c>
      <c r="T124">
        <f>SUM(P124:S124)</f>
        <v/>
      </c>
      <c r="U124" s="3">
        <f>IF(T124=0,"",P124/T124)</f>
        <v/>
      </c>
      <c r="V124" s="3">
        <f>IF(T124=0,"",Q124/T124)</f>
        <v/>
      </c>
      <c r="W124" s="3">
        <f>IF(T124=0,"",R124/T124)</f>
        <v/>
      </c>
      <c r="X124" s="3">
        <f>IF(T124=0,"",S124/T124)</f>
        <v/>
      </c>
      <c r="Y124" s="4">
        <f>IF(T124=0,"",U124*Pesos!$B$2+V124*Pesos!$B$3+W124*Pesos!$B$4+X124*Pesos!$B$5)</f>
        <v/>
      </c>
    </row>
    <row r="125">
      <c r="A125" s="2" t="n">
        <v>124</v>
      </c>
      <c r="B125" t="n">
        <v>20</v>
      </c>
      <c r="C125" t="n">
        <v>3112</v>
      </c>
      <c r="D125" t="n">
        <v>3431</v>
      </c>
      <c r="E125" t="n">
        <v>3893</v>
      </c>
      <c r="F125" t="n">
        <v>3499</v>
      </c>
      <c r="G125" t="n">
        <v>3991</v>
      </c>
      <c r="H125" t="n">
        <v>1302</v>
      </c>
      <c r="I125" t="n">
        <v>5688</v>
      </c>
      <c r="J125" t="n">
        <v>3820</v>
      </c>
      <c r="K125" t="n">
        <v>3512</v>
      </c>
      <c r="L125" t="n">
        <v>2310</v>
      </c>
      <c r="M125" t="n">
        <v>36</v>
      </c>
      <c r="N125" t="n">
        <v>0</v>
      </c>
      <c r="O125" s="6" t="n">
        <v>34594</v>
      </c>
      <c r="P125">
        <f>SUM(C125:H125)</f>
        <v/>
      </c>
      <c r="Q125">
        <f>I125</f>
        <v/>
      </c>
      <c r="R125">
        <f>J125</f>
        <v/>
      </c>
      <c r="S125">
        <f>SUM(K125:N125)</f>
        <v/>
      </c>
      <c r="T125">
        <f>SUM(P125:S125)</f>
        <v/>
      </c>
      <c r="U125" s="3">
        <f>IF(T125=0,"",P125/T125)</f>
        <v/>
      </c>
      <c r="V125" s="3">
        <f>IF(T125=0,"",Q125/T125)</f>
        <v/>
      </c>
      <c r="W125" s="3">
        <f>IF(T125=0,"",R125/T125)</f>
        <v/>
      </c>
      <c r="X125" s="3">
        <f>IF(T125=0,"",S125/T125)</f>
        <v/>
      </c>
      <c r="Y125" s="4">
        <f>IF(T125=0,"",U125*Pesos!$B$2+V125*Pesos!$B$3+W125*Pesos!$B$4+X125*Pesos!$B$5)</f>
        <v/>
      </c>
    </row>
    <row r="126">
      <c r="A126" s="2" t="n">
        <v>125</v>
      </c>
      <c r="B126" t="n">
        <v>8</v>
      </c>
      <c r="C126" t="n">
        <v>733</v>
      </c>
      <c r="D126" t="n">
        <v>564</v>
      </c>
      <c r="E126" t="n">
        <v>541</v>
      </c>
      <c r="F126" t="n">
        <v>498</v>
      </c>
      <c r="G126" t="n">
        <v>399</v>
      </c>
      <c r="H126" t="n">
        <v>275</v>
      </c>
      <c r="I126" t="n">
        <v>920</v>
      </c>
      <c r="J126" t="n">
        <v>1588</v>
      </c>
      <c r="K126" t="n">
        <v>1039</v>
      </c>
      <c r="L126" t="n">
        <v>732</v>
      </c>
      <c r="M126" t="n">
        <v>837</v>
      </c>
      <c r="N126" t="n">
        <v>523</v>
      </c>
      <c r="O126" s="6" t="n">
        <v>8649</v>
      </c>
      <c r="P126">
        <f>SUM(C126:H126)</f>
        <v/>
      </c>
      <c r="Q126">
        <f>I126</f>
        <v/>
      </c>
      <c r="R126">
        <f>J126</f>
        <v/>
      </c>
      <c r="S126">
        <f>SUM(K126:N126)</f>
        <v/>
      </c>
      <c r="T126">
        <f>SUM(P126:S126)</f>
        <v/>
      </c>
      <c r="U126" s="3">
        <f>IF(T126=0,"",P126/T126)</f>
        <v/>
      </c>
      <c r="V126" s="3">
        <f>IF(T126=0,"",Q126/T126)</f>
        <v/>
      </c>
      <c r="W126" s="3">
        <f>IF(T126=0,"",R126/T126)</f>
        <v/>
      </c>
      <c r="X126" s="3">
        <f>IF(T126=0,"",S126/T126)</f>
        <v/>
      </c>
      <c r="Y126" s="4">
        <f>IF(T126=0,"",U126*Pesos!$B$2+V126*Pesos!$B$3+W126*Pesos!$B$4+X126*Pesos!$B$5)</f>
        <v/>
      </c>
    </row>
    <row r="127">
      <c r="A127" s="2" t="n">
        <v>126</v>
      </c>
      <c r="B127" t="n">
        <v>10</v>
      </c>
      <c r="C127" t="n">
        <v>974</v>
      </c>
      <c r="D127" t="n">
        <v>825</v>
      </c>
      <c r="E127" t="n">
        <v>764</v>
      </c>
      <c r="F127" t="n">
        <v>671</v>
      </c>
      <c r="G127" t="n">
        <v>754</v>
      </c>
      <c r="H127" t="n">
        <v>608</v>
      </c>
      <c r="I127" t="n">
        <v>1397</v>
      </c>
      <c r="J127" t="n">
        <v>2063</v>
      </c>
      <c r="K127" t="n">
        <v>1716</v>
      </c>
      <c r="L127" t="n">
        <v>1200</v>
      </c>
      <c r="M127" t="n">
        <v>1219</v>
      </c>
      <c r="N127" t="n">
        <v>655</v>
      </c>
      <c r="O127" s="6" t="n">
        <v>12846</v>
      </c>
      <c r="P127">
        <f>SUM(C127:H127)</f>
        <v/>
      </c>
      <c r="Q127">
        <f>I127</f>
        <v/>
      </c>
      <c r="R127">
        <f>J127</f>
        <v/>
      </c>
      <c r="S127">
        <f>SUM(K127:N127)</f>
        <v/>
      </c>
      <c r="T127">
        <f>SUM(P127:S127)</f>
        <v/>
      </c>
      <c r="U127" s="3">
        <f>IF(T127=0,"",P127/T127)</f>
        <v/>
      </c>
      <c r="V127" s="3">
        <f>IF(T127=0,"",Q127/T127)</f>
        <v/>
      </c>
      <c r="W127" s="3">
        <f>IF(T127=0,"",R127/T127)</f>
        <v/>
      </c>
      <c r="X127" s="3">
        <f>IF(T127=0,"",S127/T127)</f>
        <v/>
      </c>
      <c r="Y127" s="4">
        <f>IF(T127=0,"",U127*Pesos!$B$2+V127*Pesos!$B$3+W127*Pesos!$B$4+X127*Pesos!$B$5)</f>
        <v/>
      </c>
    </row>
    <row r="128">
      <c r="A128" s="2" t="n">
        <v>127</v>
      </c>
      <c r="B128" t="n">
        <v>8</v>
      </c>
      <c r="C128" t="n">
        <v>950</v>
      </c>
      <c r="D128" t="n">
        <v>789</v>
      </c>
      <c r="E128" t="n">
        <v>778</v>
      </c>
      <c r="F128" t="n">
        <v>721</v>
      </c>
      <c r="G128" t="n">
        <v>425</v>
      </c>
      <c r="H128" t="n">
        <v>335</v>
      </c>
      <c r="I128" t="n">
        <v>952</v>
      </c>
      <c r="J128" t="n">
        <v>1560</v>
      </c>
      <c r="K128" t="n">
        <v>1130</v>
      </c>
      <c r="L128" t="n">
        <v>776</v>
      </c>
      <c r="M128" t="n">
        <v>834</v>
      </c>
      <c r="N128" t="n">
        <v>429</v>
      </c>
      <c r="O128" s="6" t="n">
        <v>9679</v>
      </c>
      <c r="P128">
        <f>SUM(C128:H128)</f>
        <v/>
      </c>
      <c r="Q128">
        <f>I128</f>
        <v/>
      </c>
      <c r="R128">
        <f>J128</f>
        <v/>
      </c>
      <c r="S128">
        <f>SUM(K128:N128)</f>
        <v/>
      </c>
      <c r="T128">
        <f>SUM(P128:S128)</f>
        <v/>
      </c>
      <c r="U128" s="3">
        <f>IF(T128=0,"",P128/T128)</f>
        <v/>
      </c>
      <c r="V128" s="3">
        <f>IF(T128=0,"",Q128/T128)</f>
        <v/>
      </c>
      <c r="W128" s="3">
        <f>IF(T128=0,"",R128/T128)</f>
        <v/>
      </c>
      <c r="X128" s="3">
        <f>IF(T128=0,"",S128/T128)</f>
        <v/>
      </c>
      <c r="Y128" s="4">
        <f>IF(T128=0,"",U128*Pesos!$B$2+V128*Pesos!$B$3+W128*Pesos!$B$4+X128*Pesos!$B$5)</f>
        <v/>
      </c>
    </row>
    <row r="129">
      <c r="A129" s="2" t="n">
        <v>128</v>
      </c>
      <c r="B129" t="n">
        <v>7</v>
      </c>
      <c r="C129" t="n">
        <v>674</v>
      </c>
      <c r="D129" t="n">
        <v>604</v>
      </c>
      <c r="E129" t="n">
        <v>647</v>
      </c>
      <c r="F129" t="n">
        <v>428</v>
      </c>
      <c r="G129" t="n">
        <v>369</v>
      </c>
      <c r="H129" t="n">
        <v>266</v>
      </c>
      <c r="I129" t="n">
        <v>828</v>
      </c>
      <c r="J129" t="n">
        <v>1000</v>
      </c>
      <c r="K129" t="n">
        <v>856</v>
      </c>
      <c r="L129" t="n">
        <v>640</v>
      </c>
      <c r="M129" t="n">
        <v>617</v>
      </c>
      <c r="N129" t="n">
        <v>487</v>
      </c>
      <c r="O129" s="6" t="n">
        <v>7416</v>
      </c>
      <c r="P129">
        <f>SUM(C129:H129)</f>
        <v/>
      </c>
      <c r="Q129">
        <f>I129</f>
        <v/>
      </c>
      <c r="R129">
        <f>J129</f>
        <v/>
      </c>
      <c r="S129">
        <f>SUM(K129:N129)</f>
        <v/>
      </c>
      <c r="T129">
        <f>SUM(P129:S129)</f>
        <v/>
      </c>
      <c r="U129" s="3">
        <f>IF(T129=0,"",P129/T129)</f>
        <v/>
      </c>
      <c r="V129" s="3">
        <f>IF(T129=0,"",Q129/T129)</f>
        <v/>
      </c>
      <c r="W129" s="3">
        <f>IF(T129=0,"",R129/T129)</f>
        <v/>
      </c>
      <c r="X129" s="3">
        <f>IF(T129=0,"",S129/T129)</f>
        <v/>
      </c>
      <c r="Y129" s="4">
        <f>IF(T129=0,"",U129*Pesos!$B$2+V129*Pesos!$B$3+W129*Pesos!$B$4+X129*Pesos!$B$5)</f>
        <v/>
      </c>
    </row>
    <row r="130">
      <c r="A130" s="2" t="n">
        <v>129</v>
      </c>
      <c r="B130" t="n">
        <v>11</v>
      </c>
      <c r="C130" t="n">
        <v>1519</v>
      </c>
      <c r="D130" t="n">
        <v>1171</v>
      </c>
      <c r="E130" t="n">
        <v>1134</v>
      </c>
      <c r="F130" t="n">
        <v>813</v>
      </c>
      <c r="G130" t="n">
        <v>653</v>
      </c>
      <c r="H130" t="n">
        <v>483</v>
      </c>
      <c r="I130" t="n">
        <v>1418</v>
      </c>
      <c r="J130" t="n">
        <v>1734</v>
      </c>
      <c r="K130" t="n">
        <v>1558</v>
      </c>
      <c r="L130" t="n">
        <v>855</v>
      </c>
      <c r="M130" t="n">
        <v>827</v>
      </c>
      <c r="N130" t="n">
        <v>628</v>
      </c>
      <c r="O130" s="6" t="n">
        <v>12793</v>
      </c>
      <c r="P130">
        <f>SUM(C130:H130)</f>
        <v/>
      </c>
      <c r="Q130">
        <f>I130</f>
        <v/>
      </c>
      <c r="R130">
        <f>J130</f>
        <v/>
      </c>
      <c r="S130">
        <f>SUM(K130:N130)</f>
        <v/>
      </c>
      <c r="T130">
        <f>SUM(P130:S130)</f>
        <v/>
      </c>
      <c r="U130" s="3">
        <f>IF(T130=0,"",P130/T130)</f>
        <v/>
      </c>
      <c r="V130" s="3">
        <f>IF(T130=0,"",Q130/T130)</f>
        <v/>
      </c>
      <c r="W130" s="3">
        <f>IF(T130=0,"",R130/T130)</f>
        <v/>
      </c>
      <c r="X130" s="3">
        <f>IF(T130=0,"",S130/T130)</f>
        <v/>
      </c>
      <c r="Y130" s="4">
        <f>IF(T130=0,"",U130*Pesos!$B$2+V130*Pesos!$B$3+W130*Pesos!$B$4+X130*Pesos!$B$5)</f>
        <v/>
      </c>
    </row>
    <row r="131">
      <c r="A131" s="2" t="n">
        <v>130</v>
      </c>
      <c r="B131" t="n">
        <v>11</v>
      </c>
      <c r="C131" t="n">
        <v>1095</v>
      </c>
      <c r="D131" t="n">
        <v>825</v>
      </c>
      <c r="E131" t="n">
        <v>905</v>
      </c>
      <c r="F131" t="n">
        <v>727</v>
      </c>
      <c r="G131" t="n">
        <v>515</v>
      </c>
      <c r="H131" t="n">
        <v>334</v>
      </c>
      <c r="I131" t="n">
        <v>1108</v>
      </c>
      <c r="J131" t="n">
        <v>1819</v>
      </c>
      <c r="K131" t="n">
        <v>2100</v>
      </c>
      <c r="L131" t="n">
        <v>976</v>
      </c>
      <c r="M131" t="n">
        <v>821</v>
      </c>
      <c r="N131" t="n">
        <v>678</v>
      </c>
      <c r="O131" s="6" t="n">
        <v>11903</v>
      </c>
      <c r="P131">
        <f>SUM(C131:H131)</f>
        <v/>
      </c>
      <c r="Q131">
        <f>I131</f>
        <v/>
      </c>
      <c r="R131">
        <f>J131</f>
        <v/>
      </c>
      <c r="S131">
        <f>SUM(K131:N131)</f>
        <v/>
      </c>
      <c r="T131">
        <f>SUM(P131:S131)</f>
        <v/>
      </c>
      <c r="U131" s="3">
        <f>IF(T131=0,"",P131/T131)</f>
        <v/>
      </c>
      <c r="V131" s="3">
        <f>IF(T131=0,"",Q131/T131)</f>
        <v/>
      </c>
      <c r="W131" s="3">
        <f>IF(T131=0,"",R131/T131)</f>
        <v/>
      </c>
      <c r="X131" s="3">
        <f>IF(T131=0,"",S131/T131)</f>
        <v/>
      </c>
      <c r="Y131" s="4">
        <f>IF(T131=0,"",U131*Pesos!$B$2+V131*Pesos!$B$3+W131*Pesos!$B$4+X131*Pesos!$B$5)</f>
        <v/>
      </c>
    </row>
    <row r="132">
      <c r="A132" s="2" t="n">
        <v>131</v>
      </c>
      <c r="B132" t="n">
        <v>8</v>
      </c>
      <c r="C132" t="n">
        <v>614</v>
      </c>
      <c r="D132" t="n">
        <v>617</v>
      </c>
      <c r="E132" t="n">
        <v>580</v>
      </c>
      <c r="F132" t="n">
        <v>388</v>
      </c>
      <c r="G132" t="n">
        <v>286</v>
      </c>
      <c r="H132" t="n">
        <v>303</v>
      </c>
      <c r="I132" t="n">
        <v>701</v>
      </c>
      <c r="J132" t="n">
        <v>1171</v>
      </c>
      <c r="K132" t="n">
        <v>720</v>
      </c>
      <c r="L132" t="n">
        <v>455</v>
      </c>
      <c r="M132" t="n">
        <v>565</v>
      </c>
      <c r="N132" t="n">
        <v>420</v>
      </c>
      <c r="O132" s="6" t="n">
        <v>6820</v>
      </c>
      <c r="P132">
        <f>SUM(C132:H132)</f>
        <v/>
      </c>
      <c r="Q132">
        <f>I132</f>
        <v/>
      </c>
      <c r="R132">
        <f>J132</f>
        <v/>
      </c>
      <c r="S132">
        <f>SUM(K132:N132)</f>
        <v/>
      </c>
      <c r="T132">
        <f>SUM(P132:S132)</f>
        <v/>
      </c>
      <c r="U132" s="3">
        <f>IF(T132=0,"",P132/T132)</f>
        <v/>
      </c>
      <c r="V132" s="3">
        <f>IF(T132=0,"",Q132/T132)</f>
        <v/>
      </c>
      <c r="W132" s="3">
        <f>IF(T132=0,"",R132/T132)</f>
        <v/>
      </c>
      <c r="X132" s="3">
        <f>IF(T132=0,"",S132/T132)</f>
        <v/>
      </c>
      <c r="Y132" s="4">
        <f>IF(T132=0,"",U132*Pesos!$B$2+V132*Pesos!$B$3+W132*Pesos!$B$4+X132*Pesos!$B$5)</f>
        <v/>
      </c>
    </row>
    <row r="133">
      <c r="A133" s="2" t="n">
        <v>132</v>
      </c>
      <c r="B133" t="n">
        <v>11</v>
      </c>
      <c r="C133" t="n">
        <v>848</v>
      </c>
      <c r="D133" t="n">
        <v>1163</v>
      </c>
      <c r="E133" t="n">
        <v>822</v>
      </c>
      <c r="F133" t="n">
        <v>1053</v>
      </c>
      <c r="G133" t="n">
        <v>1680</v>
      </c>
      <c r="H133" t="n">
        <v>682</v>
      </c>
      <c r="I133" t="n">
        <v>1513</v>
      </c>
      <c r="J133" t="n">
        <v>3028</v>
      </c>
      <c r="K133" t="n">
        <v>2748</v>
      </c>
      <c r="L133" t="n">
        <v>2015</v>
      </c>
      <c r="M133" t="n">
        <v>490</v>
      </c>
      <c r="N133" t="n">
        <v>83</v>
      </c>
      <c r="O133" s="6" t="n">
        <v>16125</v>
      </c>
      <c r="P133">
        <f>SUM(C133:H133)</f>
        <v/>
      </c>
      <c r="Q133">
        <f>I133</f>
        <v/>
      </c>
      <c r="R133">
        <f>J133</f>
        <v/>
      </c>
      <c r="S133">
        <f>SUM(K133:N133)</f>
        <v/>
      </c>
      <c r="T133">
        <f>SUM(P133:S133)</f>
        <v/>
      </c>
      <c r="U133" s="3">
        <f>IF(T133=0,"",P133/T133)</f>
        <v/>
      </c>
      <c r="V133" s="3">
        <f>IF(T133=0,"",Q133/T133)</f>
        <v/>
      </c>
      <c r="W133" s="3">
        <f>IF(T133=0,"",R133/T133)</f>
        <v/>
      </c>
      <c r="X133" s="3">
        <f>IF(T133=0,"",S133/T133)</f>
        <v/>
      </c>
      <c r="Y133" s="4">
        <f>IF(T133=0,"",U133*Pesos!$B$2+V133*Pesos!$B$3+W133*Pesos!$B$4+X133*Pesos!$B$5)</f>
        <v/>
      </c>
    </row>
    <row r="134">
      <c r="A134" s="2" t="n">
        <v>133</v>
      </c>
      <c r="B134" t="n">
        <v>8</v>
      </c>
      <c r="C134" t="n">
        <v>885</v>
      </c>
      <c r="D134" t="n">
        <v>868</v>
      </c>
      <c r="E134" t="n">
        <v>847</v>
      </c>
      <c r="F134" t="n">
        <v>717</v>
      </c>
      <c r="G134" t="n">
        <v>1182</v>
      </c>
      <c r="H134" t="n">
        <v>744</v>
      </c>
      <c r="I134" t="n">
        <v>2211</v>
      </c>
      <c r="J134" t="n">
        <v>2195</v>
      </c>
      <c r="K134" t="n">
        <v>1894</v>
      </c>
      <c r="L134" t="n">
        <v>670</v>
      </c>
      <c r="M134" t="n">
        <v>338</v>
      </c>
      <c r="N134" t="n">
        <v>52</v>
      </c>
      <c r="O134" s="6" t="n">
        <v>12603</v>
      </c>
      <c r="P134">
        <f>SUM(C134:H134)</f>
        <v/>
      </c>
      <c r="Q134">
        <f>I134</f>
        <v/>
      </c>
      <c r="R134">
        <f>J134</f>
        <v/>
      </c>
      <c r="S134">
        <f>SUM(K134:N134)</f>
        <v/>
      </c>
      <c r="T134">
        <f>SUM(P134:S134)</f>
        <v/>
      </c>
      <c r="U134" s="3">
        <f>IF(T134=0,"",P134/T134)</f>
        <v/>
      </c>
      <c r="V134" s="3">
        <f>IF(T134=0,"",Q134/T134)</f>
        <v/>
      </c>
      <c r="W134" s="3">
        <f>IF(T134=0,"",R134/T134)</f>
        <v/>
      </c>
      <c r="X134" s="3">
        <f>IF(T134=0,"",S134/T134)</f>
        <v/>
      </c>
      <c r="Y134" s="4">
        <f>IF(T134=0,"",U134*Pesos!$B$2+V134*Pesos!$B$3+W134*Pesos!$B$4+X134*Pesos!$B$5)</f>
        <v/>
      </c>
    </row>
    <row r="135">
      <c r="A135" s="2" t="n">
        <v>134</v>
      </c>
      <c r="B135" t="n">
        <v>9</v>
      </c>
      <c r="C135" t="n">
        <v>432</v>
      </c>
      <c r="D135" t="n">
        <v>697</v>
      </c>
      <c r="E135" t="n">
        <v>526</v>
      </c>
      <c r="F135" t="n">
        <v>556</v>
      </c>
      <c r="G135" t="n">
        <v>513</v>
      </c>
      <c r="H135" t="n">
        <v>335</v>
      </c>
      <c r="I135" t="n">
        <v>1431</v>
      </c>
      <c r="J135" t="n">
        <v>3488</v>
      </c>
      <c r="K135" t="n">
        <v>2043</v>
      </c>
      <c r="L135" t="n">
        <v>1663</v>
      </c>
      <c r="M135" t="n">
        <v>360</v>
      </c>
      <c r="N135" t="n">
        <v>208</v>
      </c>
      <c r="O135" s="6" t="n">
        <v>12252</v>
      </c>
      <c r="P135">
        <f>SUM(C135:H135)</f>
        <v/>
      </c>
      <c r="Q135">
        <f>I135</f>
        <v/>
      </c>
      <c r="R135">
        <f>J135</f>
        <v/>
      </c>
      <c r="S135">
        <f>SUM(K135:N135)</f>
        <v/>
      </c>
      <c r="T135">
        <f>SUM(P135:S135)</f>
        <v/>
      </c>
      <c r="U135" s="3">
        <f>IF(T135=0,"",P135/T135)</f>
        <v/>
      </c>
      <c r="V135" s="3">
        <f>IF(T135=0,"",Q135/T135)</f>
        <v/>
      </c>
      <c r="W135" s="3">
        <f>IF(T135=0,"",R135/T135)</f>
        <v/>
      </c>
      <c r="X135" s="3">
        <f>IF(T135=0,"",S135/T135)</f>
        <v/>
      </c>
      <c r="Y135" s="4">
        <f>IF(T135=0,"",U135*Pesos!$B$2+V135*Pesos!$B$3+W135*Pesos!$B$4+X135*Pesos!$B$5)</f>
        <v/>
      </c>
    </row>
    <row r="136">
      <c r="A136" s="2" t="n">
        <v>135</v>
      </c>
      <c r="B136" t="n">
        <v>8</v>
      </c>
      <c r="C136" t="n">
        <v>635</v>
      </c>
      <c r="D136" t="n">
        <v>1248</v>
      </c>
      <c r="E136" t="n">
        <v>528</v>
      </c>
      <c r="F136" t="n">
        <v>456</v>
      </c>
      <c r="G136" t="n">
        <v>382</v>
      </c>
      <c r="H136" t="n">
        <v>516</v>
      </c>
      <c r="I136" t="n">
        <v>1187</v>
      </c>
      <c r="J136" t="n">
        <v>2249</v>
      </c>
      <c r="K136" t="n">
        <v>1738</v>
      </c>
      <c r="L136" t="n">
        <v>817</v>
      </c>
      <c r="M136" t="n">
        <v>293</v>
      </c>
      <c r="N136" t="n">
        <v>84</v>
      </c>
      <c r="O136" s="6" t="n">
        <v>10133</v>
      </c>
      <c r="P136">
        <f>SUM(C136:H136)</f>
        <v/>
      </c>
      <c r="Q136">
        <f>I136</f>
        <v/>
      </c>
      <c r="R136">
        <f>J136</f>
        <v/>
      </c>
      <c r="S136">
        <f>SUM(K136:N136)</f>
        <v/>
      </c>
      <c r="T136">
        <f>SUM(P136:S136)</f>
        <v/>
      </c>
      <c r="U136" s="3">
        <f>IF(T136=0,"",P136/T136)</f>
        <v/>
      </c>
      <c r="V136" s="3">
        <f>IF(T136=0,"",Q136/T136)</f>
        <v/>
      </c>
      <c r="W136" s="3">
        <f>IF(T136=0,"",R136/T136)</f>
        <v/>
      </c>
      <c r="X136" s="3">
        <f>IF(T136=0,"",S136/T136)</f>
        <v/>
      </c>
      <c r="Y136" s="4">
        <f>IF(T136=0,"",U136*Pesos!$B$2+V136*Pesos!$B$3+W136*Pesos!$B$4+X136*Pesos!$B$5)</f>
        <v/>
      </c>
    </row>
    <row r="137">
      <c r="A137" s="2" t="n">
        <v>136</v>
      </c>
      <c r="B137" t="n">
        <v>8</v>
      </c>
      <c r="C137" t="n">
        <v>527</v>
      </c>
      <c r="D137" t="n">
        <v>920</v>
      </c>
      <c r="E137" t="n">
        <v>753</v>
      </c>
      <c r="F137" t="n">
        <v>686</v>
      </c>
      <c r="G137" t="n">
        <v>886</v>
      </c>
      <c r="H137" t="n">
        <v>806</v>
      </c>
      <c r="I137" t="n">
        <v>1417</v>
      </c>
      <c r="J137" t="n">
        <v>1847</v>
      </c>
      <c r="K137" t="n">
        <v>2148</v>
      </c>
      <c r="L137" t="n">
        <v>1080</v>
      </c>
      <c r="M137" t="n">
        <v>356</v>
      </c>
      <c r="N137" t="n">
        <v>146</v>
      </c>
      <c r="O137" s="6" t="n">
        <v>11572</v>
      </c>
      <c r="P137">
        <f>SUM(C137:H137)</f>
        <v/>
      </c>
      <c r="Q137">
        <f>I137</f>
        <v/>
      </c>
      <c r="R137">
        <f>J137</f>
        <v/>
      </c>
      <c r="S137">
        <f>SUM(K137:N137)</f>
        <v/>
      </c>
      <c r="T137">
        <f>SUM(P137:S137)</f>
        <v/>
      </c>
      <c r="U137" s="3">
        <f>IF(T137=0,"",P137/T137)</f>
        <v/>
      </c>
      <c r="V137" s="3">
        <f>IF(T137=0,"",Q137/T137)</f>
        <v/>
      </c>
      <c r="W137" s="3">
        <f>IF(T137=0,"",R137/T137)</f>
        <v/>
      </c>
      <c r="X137" s="3">
        <f>IF(T137=0,"",S137/T137)</f>
        <v/>
      </c>
      <c r="Y137" s="4">
        <f>IF(T137=0,"",U137*Pesos!$B$2+V137*Pesos!$B$3+W137*Pesos!$B$4+X137*Pesos!$B$5)</f>
        <v/>
      </c>
    </row>
    <row r="138">
      <c r="A138" s="2" t="n">
        <v>137</v>
      </c>
      <c r="B138" t="n">
        <v>11</v>
      </c>
      <c r="C138" t="n">
        <v>1053</v>
      </c>
      <c r="D138" t="n">
        <v>942</v>
      </c>
      <c r="E138" t="n">
        <v>987</v>
      </c>
      <c r="F138" t="n">
        <v>751</v>
      </c>
      <c r="G138" t="n">
        <v>480</v>
      </c>
      <c r="H138" t="n">
        <v>450</v>
      </c>
      <c r="I138" t="n">
        <v>1235</v>
      </c>
      <c r="J138" t="n">
        <v>2206</v>
      </c>
      <c r="K138" t="n">
        <v>3566</v>
      </c>
      <c r="L138" t="n">
        <v>2158</v>
      </c>
      <c r="M138" t="n">
        <v>1060</v>
      </c>
      <c r="N138" t="n">
        <v>328</v>
      </c>
      <c r="O138" s="6" t="n">
        <v>15216</v>
      </c>
      <c r="P138">
        <f>SUM(C138:H138)</f>
        <v/>
      </c>
      <c r="Q138">
        <f>I138</f>
        <v/>
      </c>
      <c r="R138">
        <f>J138</f>
        <v/>
      </c>
      <c r="S138">
        <f>SUM(K138:N138)</f>
        <v/>
      </c>
      <c r="T138">
        <f>SUM(P138:S138)</f>
        <v/>
      </c>
      <c r="U138" s="3">
        <f>IF(T138=0,"",P138/T138)</f>
        <v/>
      </c>
      <c r="V138" s="3">
        <f>IF(T138=0,"",Q138/T138)</f>
        <v/>
      </c>
      <c r="W138" s="3">
        <f>IF(T138=0,"",R138/T138)</f>
        <v/>
      </c>
      <c r="X138" s="3">
        <f>IF(T138=0,"",S138/T138)</f>
        <v/>
      </c>
      <c r="Y138" s="4">
        <f>IF(T138=0,"",U138*Pesos!$B$2+V138*Pesos!$B$3+W138*Pesos!$B$4+X138*Pesos!$B$5)</f>
        <v/>
      </c>
    </row>
    <row r="139">
      <c r="A139" s="2" t="n">
        <v>138</v>
      </c>
      <c r="B139" t="n">
        <v>7</v>
      </c>
      <c r="C139" t="n">
        <v>1149</v>
      </c>
      <c r="D139" t="n">
        <v>1010</v>
      </c>
      <c r="E139" t="n">
        <v>632</v>
      </c>
      <c r="F139" t="n">
        <v>531</v>
      </c>
      <c r="G139" t="n">
        <v>325</v>
      </c>
      <c r="H139" t="n">
        <v>218</v>
      </c>
      <c r="I139" t="n">
        <v>1165</v>
      </c>
      <c r="J139" t="n">
        <v>2144</v>
      </c>
      <c r="K139" t="n">
        <v>2169</v>
      </c>
      <c r="L139" t="n">
        <v>931</v>
      </c>
      <c r="M139" t="n">
        <v>983</v>
      </c>
      <c r="N139" t="n">
        <v>147</v>
      </c>
      <c r="O139" s="6" t="n">
        <v>11404</v>
      </c>
      <c r="P139">
        <f>SUM(C139:H139)</f>
        <v/>
      </c>
      <c r="Q139">
        <f>I139</f>
        <v/>
      </c>
      <c r="R139">
        <f>J139</f>
        <v/>
      </c>
      <c r="S139">
        <f>SUM(K139:N139)</f>
        <v/>
      </c>
      <c r="T139">
        <f>SUM(P139:S139)</f>
        <v/>
      </c>
      <c r="U139" s="3">
        <f>IF(T139=0,"",P139/T139)</f>
        <v/>
      </c>
      <c r="V139" s="3">
        <f>IF(T139=0,"",Q139/T139)</f>
        <v/>
      </c>
      <c r="W139" s="3">
        <f>IF(T139=0,"",R139/T139)</f>
        <v/>
      </c>
      <c r="X139" s="3">
        <f>IF(T139=0,"",S139/T139)</f>
        <v/>
      </c>
      <c r="Y139" s="4">
        <f>IF(T139=0,"",U139*Pesos!$B$2+V139*Pesos!$B$3+W139*Pesos!$B$4+X139*Pesos!$B$5)</f>
        <v/>
      </c>
    </row>
    <row r="140">
      <c r="A140" s="2" t="n">
        <v>139</v>
      </c>
      <c r="B140" t="n">
        <v>3</v>
      </c>
      <c r="C140" t="n">
        <v>507</v>
      </c>
      <c r="D140" t="n">
        <v>439</v>
      </c>
      <c r="E140" t="n">
        <v>617</v>
      </c>
      <c r="F140" t="n">
        <v>951</v>
      </c>
      <c r="G140" t="n">
        <v>332</v>
      </c>
      <c r="H140" t="n">
        <v>635</v>
      </c>
      <c r="I140" t="n">
        <v>518</v>
      </c>
      <c r="J140" t="n">
        <v>533</v>
      </c>
      <c r="K140" t="n">
        <v>680</v>
      </c>
      <c r="L140" t="n">
        <v>104</v>
      </c>
      <c r="M140" t="n">
        <v>143</v>
      </c>
      <c r="N140" t="n">
        <v>30</v>
      </c>
      <c r="O140" s="6" t="n">
        <v>5489</v>
      </c>
      <c r="P140">
        <f>SUM(C140:H140)</f>
        <v/>
      </c>
      <c r="Q140">
        <f>I140</f>
        <v/>
      </c>
      <c r="R140">
        <f>J140</f>
        <v/>
      </c>
      <c r="S140">
        <f>SUM(K140:N140)</f>
        <v/>
      </c>
      <c r="T140">
        <f>SUM(P140:S140)</f>
        <v/>
      </c>
      <c r="U140" s="3">
        <f>IF(T140=0,"",P140/T140)</f>
        <v/>
      </c>
      <c r="V140" s="3">
        <f>IF(T140=0,"",Q140/T140)</f>
        <v/>
      </c>
      <c r="W140" s="3">
        <f>IF(T140=0,"",R140/T140)</f>
        <v/>
      </c>
      <c r="X140" s="3">
        <f>IF(T140=0,"",S140/T140)</f>
        <v/>
      </c>
      <c r="Y140" s="4">
        <f>IF(T140=0,"",U140*Pesos!$B$2+V140*Pesos!$B$3+W140*Pesos!$B$4+X140*Pesos!$B$5)</f>
        <v/>
      </c>
    </row>
    <row r="141">
      <c r="A141" s="2" t="n">
        <v>140</v>
      </c>
      <c r="B141" t="n">
        <v>8</v>
      </c>
      <c r="C141" t="n">
        <v>921</v>
      </c>
      <c r="D141" t="n">
        <v>877</v>
      </c>
      <c r="E141" t="n">
        <v>850</v>
      </c>
      <c r="F141" t="n">
        <v>594</v>
      </c>
      <c r="G141" t="n">
        <v>517</v>
      </c>
      <c r="H141" t="n">
        <v>347</v>
      </c>
      <c r="I141" t="n">
        <v>1153</v>
      </c>
      <c r="J141" t="n">
        <v>1647</v>
      </c>
      <c r="K141" t="n">
        <v>2304</v>
      </c>
      <c r="L141" t="n">
        <v>919</v>
      </c>
      <c r="M141" t="n">
        <v>631</v>
      </c>
      <c r="N141" t="n">
        <v>250</v>
      </c>
      <c r="O141" s="6" t="n">
        <v>11010</v>
      </c>
      <c r="P141">
        <f>SUM(C141:H141)</f>
        <v/>
      </c>
      <c r="Q141">
        <f>I141</f>
        <v/>
      </c>
      <c r="R141">
        <f>J141</f>
        <v/>
      </c>
      <c r="S141">
        <f>SUM(K141:N141)</f>
        <v/>
      </c>
      <c r="T141">
        <f>SUM(P141:S141)</f>
        <v/>
      </c>
      <c r="U141" s="3">
        <f>IF(T141=0,"",P141/T141)</f>
        <v/>
      </c>
      <c r="V141" s="3">
        <f>IF(T141=0,"",Q141/T141)</f>
        <v/>
      </c>
      <c r="W141" s="3">
        <f>IF(T141=0,"",R141/T141)</f>
        <v/>
      </c>
      <c r="X141" s="3">
        <f>IF(T141=0,"",S141/T141)</f>
        <v/>
      </c>
      <c r="Y141" s="4">
        <f>IF(T141=0,"",U141*Pesos!$B$2+V141*Pesos!$B$3+W141*Pesos!$B$4+X141*Pesos!$B$5)</f>
        <v/>
      </c>
    </row>
    <row r="142">
      <c r="A142" s="2" t="n">
        <v>141</v>
      </c>
      <c r="B142" t="n">
        <v>8</v>
      </c>
      <c r="C142" t="n">
        <v>833</v>
      </c>
      <c r="D142" t="n">
        <v>936</v>
      </c>
      <c r="E142" t="n">
        <v>1470</v>
      </c>
      <c r="F142" t="n">
        <v>447</v>
      </c>
      <c r="G142" t="n">
        <v>354</v>
      </c>
      <c r="H142" t="n">
        <v>293</v>
      </c>
      <c r="I142" t="n">
        <v>845</v>
      </c>
      <c r="J142" t="n">
        <v>1425</v>
      </c>
      <c r="K142" t="n">
        <v>1625</v>
      </c>
      <c r="L142" t="n">
        <v>710</v>
      </c>
      <c r="M142" t="n">
        <v>923</v>
      </c>
      <c r="N142" t="n">
        <v>384</v>
      </c>
      <c r="O142" s="6" t="n">
        <v>10245</v>
      </c>
      <c r="P142">
        <f>SUM(C142:H142)</f>
        <v/>
      </c>
      <c r="Q142">
        <f>I142</f>
        <v/>
      </c>
      <c r="R142">
        <f>J142</f>
        <v/>
      </c>
      <c r="S142">
        <f>SUM(K142:N142)</f>
        <v/>
      </c>
      <c r="T142">
        <f>SUM(P142:S142)</f>
        <v/>
      </c>
      <c r="U142" s="3">
        <f>IF(T142=0,"",P142/T142)</f>
        <v/>
      </c>
      <c r="V142" s="3">
        <f>IF(T142=0,"",Q142/T142)</f>
        <v/>
      </c>
      <c r="W142" s="3">
        <f>IF(T142=0,"",R142/T142)</f>
        <v/>
      </c>
      <c r="X142" s="3">
        <f>IF(T142=0,"",S142/T142)</f>
        <v/>
      </c>
      <c r="Y142" s="4">
        <f>IF(T142=0,"",U142*Pesos!$B$2+V142*Pesos!$B$3+W142*Pesos!$B$4+X142*Pesos!$B$5)</f>
        <v/>
      </c>
    </row>
    <row r="143">
      <c r="A143" s="2" t="n">
        <v>142</v>
      </c>
      <c r="B143" t="n">
        <v>8</v>
      </c>
      <c r="C143" t="n">
        <v>879</v>
      </c>
      <c r="D143" t="n">
        <v>878</v>
      </c>
      <c r="E143" t="n">
        <v>736</v>
      </c>
      <c r="F143" t="n">
        <v>553</v>
      </c>
      <c r="G143" t="n">
        <v>433</v>
      </c>
      <c r="H143" t="n">
        <v>374</v>
      </c>
      <c r="I143" t="n">
        <v>1325</v>
      </c>
      <c r="J143" t="n">
        <v>2105</v>
      </c>
      <c r="K143" t="n">
        <v>1958</v>
      </c>
      <c r="L143" t="n">
        <v>995</v>
      </c>
      <c r="M143" t="n">
        <v>806</v>
      </c>
      <c r="N143" t="n">
        <v>318</v>
      </c>
      <c r="O143" s="6" t="n">
        <v>11360</v>
      </c>
      <c r="P143">
        <f>SUM(C143:H143)</f>
        <v/>
      </c>
      <c r="Q143">
        <f>I143</f>
        <v/>
      </c>
      <c r="R143">
        <f>J143</f>
        <v/>
      </c>
      <c r="S143">
        <f>SUM(K143:N143)</f>
        <v/>
      </c>
      <c r="T143">
        <f>SUM(P143:S143)</f>
        <v/>
      </c>
      <c r="U143" s="3">
        <f>IF(T143=0,"",P143/T143)</f>
        <v/>
      </c>
      <c r="V143" s="3">
        <f>IF(T143=0,"",Q143/T143)</f>
        <v/>
      </c>
      <c r="W143" s="3">
        <f>IF(T143=0,"",R143/T143)</f>
        <v/>
      </c>
      <c r="X143" s="3">
        <f>IF(T143=0,"",S143/T143)</f>
        <v/>
      </c>
      <c r="Y143" s="4">
        <f>IF(T143=0,"",U143*Pesos!$B$2+V143*Pesos!$B$3+W143*Pesos!$B$4+X143*Pesos!$B$5)</f>
        <v/>
      </c>
    </row>
    <row r="144">
      <c r="A144" s="2" t="n">
        <v>143</v>
      </c>
      <c r="B144" t="n">
        <v>2</v>
      </c>
      <c r="C144" t="n">
        <v>876</v>
      </c>
      <c r="D144" t="n">
        <v>674</v>
      </c>
      <c r="E144" t="n">
        <v>391</v>
      </c>
      <c r="F144" t="n">
        <v>348</v>
      </c>
      <c r="G144" t="n">
        <v>650</v>
      </c>
      <c r="H144" t="n">
        <v>544</v>
      </c>
      <c r="I144" t="n">
        <v>742</v>
      </c>
      <c r="J144" t="n">
        <v>677</v>
      </c>
      <c r="K144" t="n">
        <v>283</v>
      </c>
      <c r="L144" t="n">
        <v>172</v>
      </c>
      <c r="M144" t="n">
        <v>102</v>
      </c>
      <c r="N144" t="n">
        <v>25</v>
      </c>
      <c r="O144" s="6" t="n">
        <v>5484</v>
      </c>
      <c r="P144">
        <f>SUM(C144:H144)</f>
        <v/>
      </c>
      <c r="Q144">
        <f>I144</f>
        <v/>
      </c>
      <c r="R144">
        <f>J144</f>
        <v/>
      </c>
      <c r="S144">
        <f>SUM(K144:N144)</f>
        <v/>
      </c>
      <c r="T144">
        <f>SUM(P144:S144)</f>
        <v/>
      </c>
      <c r="U144" s="3">
        <f>IF(T144=0,"",P144/T144)</f>
        <v/>
      </c>
      <c r="V144" s="3">
        <f>IF(T144=0,"",Q144/T144)</f>
        <v/>
      </c>
      <c r="W144" s="3">
        <f>IF(T144=0,"",R144/T144)</f>
        <v/>
      </c>
      <c r="X144" s="3">
        <f>IF(T144=0,"",S144/T144)</f>
        <v/>
      </c>
      <c r="Y144" s="4">
        <f>IF(T144=0,"",U144*Pesos!$B$2+V144*Pesos!$B$3+W144*Pesos!$B$4+X144*Pesos!$B$5)</f>
        <v/>
      </c>
    </row>
    <row r="145">
      <c r="A145" s="2" t="n">
        <v>144</v>
      </c>
      <c r="B145" t="n">
        <v>8</v>
      </c>
      <c r="C145" t="n">
        <v>731</v>
      </c>
      <c r="D145" t="n">
        <v>728</v>
      </c>
      <c r="E145" t="n">
        <v>653</v>
      </c>
      <c r="F145" t="n">
        <v>1407</v>
      </c>
      <c r="G145" t="n">
        <v>721</v>
      </c>
      <c r="H145" t="n">
        <v>494</v>
      </c>
      <c r="I145" t="n">
        <v>2012</v>
      </c>
      <c r="J145" t="n">
        <v>3107</v>
      </c>
      <c r="K145" t="n">
        <v>1184</v>
      </c>
      <c r="L145" t="n">
        <v>890</v>
      </c>
      <c r="M145" t="n">
        <v>212</v>
      </c>
      <c r="N145" t="n">
        <v>56</v>
      </c>
      <c r="O145" s="6" t="n">
        <v>12195</v>
      </c>
      <c r="P145">
        <f>SUM(C145:H145)</f>
        <v/>
      </c>
      <c r="Q145">
        <f>I145</f>
        <v/>
      </c>
      <c r="R145">
        <f>J145</f>
        <v/>
      </c>
      <c r="S145">
        <f>SUM(K145:N145)</f>
        <v/>
      </c>
      <c r="T145">
        <f>SUM(P145:S145)</f>
        <v/>
      </c>
      <c r="U145" s="3">
        <f>IF(T145=0,"",P145/T145)</f>
        <v/>
      </c>
      <c r="V145" s="3">
        <f>IF(T145=0,"",Q145/T145)</f>
        <v/>
      </c>
      <c r="W145" s="3">
        <f>IF(T145=0,"",R145/T145)</f>
        <v/>
      </c>
      <c r="X145" s="3">
        <f>IF(T145=0,"",S145/T145)</f>
        <v/>
      </c>
      <c r="Y145" s="4">
        <f>IF(T145=0,"",U145*Pesos!$B$2+V145*Pesos!$B$3+W145*Pesos!$B$4+X145*Pesos!$B$5)</f>
        <v/>
      </c>
    </row>
    <row r="146">
      <c r="A146" s="2" t="n">
        <v>145</v>
      </c>
      <c r="B146" t="n">
        <v>8</v>
      </c>
      <c r="C146" t="n">
        <v>595</v>
      </c>
      <c r="D146" t="n">
        <v>626</v>
      </c>
      <c r="E146" t="n">
        <v>451</v>
      </c>
      <c r="F146" t="n">
        <v>378</v>
      </c>
      <c r="G146" t="n">
        <v>286</v>
      </c>
      <c r="H146" t="n">
        <v>229</v>
      </c>
      <c r="I146" t="n">
        <v>909</v>
      </c>
      <c r="J146" t="n">
        <v>2045</v>
      </c>
      <c r="K146" t="n">
        <v>1936</v>
      </c>
      <c r="L146" t="n">
        <v>963</v>
      </c>
      <c r="M146" t="n">
        <v>662</v>
      </c>
      <c r="N146" t="n">
        <v>207</v>
      </c>
      <c r="O146" s="6" t="n">
        <v>9287</v>
      </c>
      <c r="P146">
        <f>SUM(C146:H146)</f>
        <v/>
      </c>
      <c r="Q146">
        <f>I146</f>
        <v/>
      </c>
      <c r="R146">
        <f>J146</f>
        <v/>
      </c>
      <c r="S146">
        <f>SUM(K146:N146)</f>
        <v/>
      </c>
      <c r="T146">
        <f>SUM(P146:S146)</f>
        <v/>
      </c>
      <c r="U146" s="3">
        <f>IF(T146=0,"",P146/T146)</f>
        <v/>
      </c>
      <c r="V146" s="3">
        <f>IF(T146=0,"",Q146/T146)</f>
        <v/>
      </c>
      <c r="W146" s="3">
        <f>IF(T146=0,"",R146/T146)</f>
        <v/>
      </c>
      <c r="X146" s="3">
        <f>IF(T146=0,"",S146/T146)</f>
        <v/>
      </c>
      <c r="Y146" s="4">
        <f>IF(T146=0,"",U146*Pesos!$B$2+V146*Pesos!$B$3+W146*Pesos!$B$4+X146*Pesos!$B$5)</f>
        <v/>
      </c>
    </row>
    <row r="147">
      <c r="A147" s="2" t="n">
        <v>146</v>
      </c>
      <c r="B147" t="n">
        <v>10</v>
      </c>
      <c r="C147" t="n">
        <v>715</v>
      </c>
      <c r="D147" t="n">
        <v>683</v>
      </c>
      <c r="E147" t="n">
        <v>645</v>
      </c>
      <c r="F147" t="n">
        <v>876</v>
      </c>
      <c r="G147" t="n">
        <v>384</v>
      </c>
      <c r="H147" t="n">
        <v>369</v>
      </c>
      <c r="I147" t="n">
        <v>1059</v>
      </c>
      <c r="J147" t="n">
        <v>2516</v>
      </c>
      <c r="K147" t="n">
        <v>3256</v>
      </c>
      <c r="L147" t="n">
        <v>2175</v>
      </c>
      <c r="M147" t="n">
        <v>968</v>
      </c>
      <c r="N147" t="n">
        <v>147</v>
      </c>
      <c r="O147" s="6" t="n">
        <v>13793</v>
      </c>
      <c r="P147">
        <f>SUM(C147:H147)</f>
        <v/>
      </c>
      <c r="Q147">
        <f>I147</f>
        <v/>
      </c>
      <c r="R147">
        <f>J147</f>
        <v/>
      </c>
      <c r="S147">
        <f>SUM(K147:N147)</f>
        <v/>
      </c>
      <c r="T147">
        <f>SUM(P147:S147)</f>
        <v/>
      </c>
      <c r="U147" s="3">
        <f>IF(T147=0,"",P147/T147)</f>
        <v/>
      </c>
      <c r="V147" s="3">
        <f>IF(T147=0,"",Q147/T147)</f>
        <v/>
      </c>
      <c r="W147" s="3">
        <f>IF(T147=0,"",R147/T147)</f>
        <v/>
      </c>
      <c r="X147" s="3">
        <f>IF(T147=0,"",S147/T147)</f>
        <v/>
      </c>
      <c r="Y147" s="4">
        <f>IF(T147=0,"",U147*Pesos!$B$2+V147*Pesos!$B$3+W147*Pesos!$B$4+X147*Pesos!$B$5)</f>
        <v/>
      </c>
    </row>
    <row r="148">
      <c r="A148" s="2" t="n">
        <v>147</v>
      </c>
      <c r="B148" t="n">
        <v>9</v>
      </c>
      <c r="C148" t="n">
        <v>1441</v>
      </c>
      <c r="D148" t="n">
        <v>1291</v>
      </c>
      <c r="E148" t="n">
        <v>1346</v>
      </c>
      <c r="F148" t="n">
        <v>859</v>
      </c>
      <c r="G148" t="n">
        <v>513</v>
      </c>
      <c r="H148" t="n">
        <v>556</v>
      </c>
      <c r="I148" t="n">
        <v>1394</v>
      </c>
      <c r="J148" t="n">
        <v>4064</v>
      </c>
      <c r="K148" t="n">
        <v>2567</v>
      </c>
      <c r="L148" t="n">
        <v>1045</v>
      </c>
      <c r="M148" t="n">
        <v>272</v>
      </c>
      <c r="N148" t="n">
        <v>58</v>
      </c>
      <c r="O148" s="6" t="n">
        <v>15406</v>
      </c>
      <c r="P148">
        <f>SUM(C148:H148)</f>
        <v/>
      </c>
      <c r="Q148">
        <f>I148</f>
        <v/>
      </c>
      <c r="R148">
        <f>J148</f>
        <v/>
      </c>
      <c r="S148">
        <f>SUM(K148:N148)</f>
        <v/>
      </c>
      <c r="T148">
        <f>SUM(P148:S148)</f>
        <v/>
      </c>
      <c r="U148" s="3">
        <f>IF(T148=0,"",P148/T148)</f>
        <v/>
      </c>
      <c r="V148" s="3">
        <f>IF(T148=0,"",Q148/T148)</f>
        <v/>
      </c>
      <c r="W148" s="3">
        <f>IF(T148=0,"",R148/T148)</f>
        <v/>
      </c>
      <c r="X148" s="3">
        <f>IF(T148=0,"",S148/T148)</f>
        <v/>
      </c>
      <c r="Y148" s="4">
        <f>IF(T148=0,"",U148*Pesos!$B$2+V148*Pesos!$B$3+W148*Pesos!$B$4+X148*Pesos!$B$5)</f>
        <v/>
      </c>
    </row>
    <row r="149">
      <c r="A149" s="2" t="n">
        <v>148</v>
      </c>
      <c r="B149" t="n">
        <v>9</v>
      </c>
      <c r="C149" t="n">
        <v>491</v>
      </c>
      <c r="D149" t="n">
        <v>452</v>
      </c>
      <c r="E149" t="n">
        <v>506</v>
      </c>
      <c r="F149" t="n">
        <v>430</v>
      </c>
      <c r="G149" t="n">
        <v>351</v>
      </c>
      <c r="H149" t="n">
        <v>245</v>
      </c>
      <c r="I149" t="n">
        <v>1013</v>
      </c>
      <c r="J149" t="n">
        <v>2032</v>
      </c>
      <c r="K149" t="n">
        <v>2511</v>
      </c>
      <c r="L149" t="n">
        <v>1017</v>
      </c>
      <c r="M149" t="n">
        <v>1859</v>
      </c>
      <c r="N149" t="n">
        <v>44</v>
      </c>
      <c r="O149" s="6" t="n">
        <v>10951</v>
      </c>
      <c r="P149">
        <f>SUM(C149:H149)</f>
        <v/>
      </c>
      <c r="Q149">
        <f>I149</f>
        <v/>
      </c>
      <c r="R149">
        <f>J149</f>
        <v/>
      </c>
      <c r="S149">
        <f>SUM(K149:N149)</f>
        <v/>
      </c>
      <c r="T149">
        <f>SUM(P149:S149)</f>
        <v/>
      </c>
      <c r="U149" s="3">
        <f>IF(T149=0,"",P149/T149)</f>
        <v/>
      </c>
      <c r="V149" s="3">
        <f>IF(T149=0,"",Q149/T149)</f>
        <v/>
      </c>
      <c r="W149" s="3">
        <f>IF(T149=0,"",R149/T149)</f>
        <v/>
      </c>
      <c r="X149" s="3">
        <f>IF(T149=0,"",S149/T149)</f>
        <v/>
      </c>
      <c r="Y149" s="4">
        <f>IF(T149=0,"",U149*Pesos!$B$2+V149*Pesos!$B$3+W149*Pesos!$B$4+X149*Pesos!$B$5)</f>
        <v/>
      </c>
    </row>
    <row r="150">
      <c r="A150" s="2" t="n">
        <v>149</v>
      </c>
      <c r="B150" t="n">
        <v>9</v>
      </c>
      <c r="C150" t="n">
        <v>639</v>
      </c>
      <c r="D150" t="n">
        <v>632</v>
      </c>
      <c r="E150" t="n">
        <v>559</v>
      </c>
      <c r="F150" t="n">
        <v>426</v>
      </c>
      <c r="G150" t="n">
        <v>224</v>
      </c>
      <c r="H150" t="n">
        <v>226</v>
      </c>
      <c r="I150" t="n">
        <v>866</v>
      </c>
      <c r="J150" t="n">
        <v>1577</v>
      </c>
      <c r="K150" t="n">
        <v>1240</v>
      </c>
      <c r="L150" t="n">
        <v>1073</v>
      </c>
      <c r="M150" t="n">
        <v>1790</v>
      </c>
      <c r="N150" t="n">
        <v>138</v>
      </c>
      <c r="O150" s="6" t="n">
        <v>9390</v>
      </c>
      <c r="P150">
        <f>SUM(C150:H150)</f>
        <v/>
      </c>
      <c r="Q150">
        <f>I150</f>
        <v/>
      </c>
      <c r="R150">
        <f>J150</f>
        <v/>
      </c>
      <c r="S150">
        <f>SUM(K150:N150)</f>
        <v/>
      </c>
      <c r="T150">
        <f>SUM(P150:S150)</f>
        <v/>
      </c>
      <c r="U150" s="3">
        <f>IF(T150=0,"",P150/T150)</f>
        <v/>
      </c>
      <c r="V150" s="3">
        <f>IF(T150=0,"",Q150/T150)</f>
        <v/>
      </c>
      <c r="W150" s="3">
        <f>IF(T150=0,"",R150/T150)</f>
        <v/>
      </c>
      <c r="X150" s="3">
        <f>IF(T150=0,"",S150/T150)</f>
        <v/>
      </c>
      <c r="Y150" s="4">
        <f>IF(T150=0,"",U150*Pesos!$B$2+V150*Pesos!$B$3+W150*Pesos!$B$4+X150*Pesos!$B$5)</f>
        <v/>
      </c>
    </row>
    <row r="151">
      <c r="A151" s="2" t="n">
        <v>150</v>
      </c>
      <c r="B151" t="n">
        <v>10</v>
      </c>
      <c r="C151" t="n">
        <v>553</v>
      </c>
      <c r="D151" t="n">
        <v>492</v>
      </c>
      <c r="E151" t="n">
        <v>492</v>
      </c>
      <c r="F151" t="n">
        <v>483</v>
      </c>
      <c r="G151" t="n">
        <v>340</v>
      </c>
      <c r="H151" t="n">
        <v>276</v>
      </c>
      <c r="I151" t="n">
        <v>957</v>
      </c>
      <c r="J151" t="n">
        <v>1693</v>
      </c>
      <c r="K151" t="n">
        <v>1698</v>
      </c>
      <c r="L151" t="n">
        <v>839</v>
      </c>
      <c r="M151" t="n">
        <v>1097</v>
      </c>
      <c r="N151" t="n">
        <v>361</v>
      </c>
      <c r="O151" s="6" t="n">
        <v>9281</v>
      </c>
      <c r="P151">
        <f>SUM(C151:H151)</f>
        <v/>
      </c>
      <c r="Q151">
        <f>I151</f>
        <v/>
      </c>
      <c r="R151">
        <f>J151</f>
        <v/>
      </c>
      <c r="S151">
        <f>SUM(K151:N151)</f>
        <v/>
      </c>
      <c r="T151">
        <f>SUM(P151:S151)</f>
        <v/>
      </c>
      <c r="U151" s="3">
        <f>IF(T151=0,"",P151/T151)</f>
        <v/>
      </c>
      <c r="V151" s="3">
        <f>IF(T151=0,"",Q151/T151)</f>
        <v/>
      </c>
      <c r="W151" s="3">
        <f>IF(T151=0,"",R151/T151)</f>
        <v/>
      </c>
      <c r="X151" s="3">
        <f>IF(T151=0,"",S151/T151)</f>
        <v/>
      </c>
      <c r="Y151" s="4">
        <f>IF(T151=0,"",U151*Pesos!$B$2+V151*Pesos!$B$3+W151*Pesos!$B$4+X151*Pesos!$B$5)</f>
        <v/>
      </c>
    </row>
    <row r="152">
      <c r="A152" s="2" t="n">
        <v>151</v>
      </c>
      <c r="B152" t="n">
        <v>11</v>
      </c>
      <c r="C152" t="n">
        <v>418</v>
      </c>
      <c r="D152" t="n">
        <v>514</v>
      </c>
      <c r="E152" t="n">
        <v>600</v>
      </c>
      <c r="F152" t="n">
        <v>574</v>
      </c>
      <c r="G152" t="n">
        <v>480</v>
      </c>
      <c r="H152" t="n">
        <v>312</v>
      </c>
      <c r="I152" t="n">
        <v>1319</v>
      </c>
      <c r="J152" t="n">
        <v>3805</v>
      </c>
      <c r="K152" t="n">
        <v>5394</v>
      </c>
      <c r="L152" t="n">
        <v>1255</v>
      </c>
      <c r="M152" t="n">
        <v>824</v>
      </c>
      <c r="N152" t="n">
        <v>31</v>
      </c>
      <c r="O152" s="6" t="n">
        <v>15526</v>
      </c>
      <c r="P152">
        <f>SUM(C152:H152)</f>
        <v/>
      </c>
      <c r="Q152">
        <f>I152</f>
        <v/>
      </c>
      <c r="R152">
        <f>J152</f>
        <v/>
      </c>
      <c r="S152">
        <f>SUM(K152:N152)</f>
        <v/>
      </c>
      <c r="T152">
        <f>SUM(P152:S152)</f>
        <v/>
      </c>
      <c r="U152" s="3">
        <f>IF(T152=0,"",P152/T152)</f>
        <v/>
      </c>
      <c r="V152" s="3">
        <f>IF(T152=0,"",Q152/T152)</f>
        <v/>
      </c>
      <c r="W152" s="3">
        <f>IF(T152=0,"",R152/T152)</f>
        <v/>
      </c>
      <c r="X152" s="3">
        <f>IF(T152=0,"",S152/T152)</f>
        <v/>
      </c>
      <c r="Y152" s="4">
        <f>IF(T152=0,"",U152*Pesos!$B$2+V152*Pesos!$B$3+W152*Pesos!$B$4+X152*Pesos!$B$5)</f>
        <v/>
      </c>
    </row>
    <row r="153">
      <c r="A153" s="2" t="n">
        <v>152</v>
      </c>
      <c r="B153" t="n">
        <v>8</v>
      </c>
      <c r="C153" t="n">
        <v>263</v>
      </c>
      <c r="D153" t="n">
        <v>256</v>
      </c>
      <c r="E153" t="n">
        <v>286</v>
      </c>
      <c r="F153" t="n">
        <v>298</v>
      </c>
      <c r="G153" t="n">
        <v>226</v>
      </c>
      <c r="H153" t="n">
        <v>245</v>
      </c>
      <c r="I153" t="n">
        <v>658</v>
      </c>
      <c r="J153" t="n">
        <v>1207</v>
      </c>
      <c r="K153" t="n">
        <v>953</v>
      </c>
      <c r="L153" t="n">
        <v>741</v>
      </c>
      <c r="M153" t="n">
        <v>632</v>
      </c>
      <c r="N153" t="n">
        <v>270</v>
      </c>
      <c r="O153" s="6" t="n">
        <v>6035</v>
      </c>
      <c r="P153">
        <f>SUM(C153:H153)</f>
        <v/>
      </c>
      <c r="Q153">
        <f>I153</f>
        <v/>
      </c>
      <c r="R153">
        <f>J153</f>
        <v/>
      </c>
      <c r="S153">
        <f>SUM(K153:N153)</f>
        <v/>
      </c>
      <c r="T153">
        <f>SUM(P153:S153)</f>
        <v/>
      </c>
      <c r="U153" s="3">
        <f>IF(T153=0,"",P153/T153)</f>
        <v/>
      </c>
      <c r="V153" s="3">
        <f>IF(T153=0,"",Q153/T153)</f>
        <v/>
      </c>
      <c r="W153" s="3">
        <f>IF(T153=0,"",R153/T153)</f>
        <v/>
      </c>
      <c r="X153" s="3">
        <f>IF(T153=0,"",S153/T153)</f>
        <v/>
      </c>
      <c r="Y153" s="4">
        <f>IF(T153=0,"",U153*Pesos!$B$2+V153*Pesos!$B$3+W153*Pesos!$B$4+X153*Pesos!$B$5)</f>
        <v/>
      </c>
    </row>
    <row r="154">
      <c r="A154" s="2" t="n">
        <v>153</v>
      </c>
      <c r="B154" t="n">
        <v>8</v>
      </c>
      <c r="C154" t="n">
        <v>352</v>
      </c>
      <c r="D154" t="n">
        <v>344</v>
      </c>
      <c r="E154" t="n">
        <v>468</v>
      </c>
      <c r="F154" t="n">
        <v>344</v>
      </c>
      <c r="G154" t="n">
        <v>333</v>
      </c>
      <c r="H154" t="n">
        <v>266</v>
      </c>
      <c r="I154" t="n">
        <v>857</v>
      </c>
      <c r="J154" t="n">
        <v>1302</v>
      </c>
      <c r="K154" t="n">
        <v>1550</v>
      </c>
      <c r="L154" t="n">
        <v>746</v>
      </c>
      <c r="M154" t="n">
        <v>665</v>
      </c>
      <c r="N154" t="n">
        <v>339</v>
      </c>
      <c r="O154" s="6" t="n">
        <v>7566</v>
      </c>
      <c r="P154">
        <f>SUM(C154:H154)</f>
        <v/>
      </c>
      <c r="Q154">
        <f>I154</f>
        <v/>
      </c>
      <c r="R154">
        <f>J154</f>
        <v/>
      </c>
      <c r="S154">
        <f>SUM(K154:N154)</f>
        <v/>
      </c>
      <c r="T154">
        <f>SUM(P154:S154)</f>
        <v/>
      </c>
      <c r="U154" s="3">
        <f>IF(T154=0,"",P154/T154)</f>
        <v/>
      </c>
      <c r="V154" s="3">
        <f>IF(T154=0,"",Q154/T154)</f>
        <v/>
      </c>
      <c r="W154" s="3">
        <f>IF(T154=0,"",R154/T154)</f>
        <v/>
      </c>
      <c r="X154" s="3">
        <f>IF(T154=0,"",S154/T154)</f>
        <v/>
      </c>
      <c r="Y154" s="4">
        <f>IF(T154=0,"",U154*Pesos!$B$2+V154*Pesos!$B$3+W154*Pesos!$B$4+X154*Pesos!$B$5)</f>
        <v/>
      </c>
    </row>
    <row r="155">
      <c r="A155" s="2" t="n">
        <v>154</v>
      </c>
      <c r="B155" t="n">
        <v>8</v>
      </c>
      <c r="C155" t="n">
        <v>660</v>
      </c>
      <c r="D155" t="n">
        <v>389</v>
      </c>
      <c r="E155" t="n">
        <v>550</v>
      </c>
      <c r="F155" t="n">
        <v>428</v>
      </c>
      <c r="G155" t="n">
        <v>436</v>
      </c>
      <c r="H155" t="n">
        <v>342</v>
      </c>
      <c r="I155" t="n">
        <v>955</v>
      </c>
      <c r="J155" t="n">
        <v>1783</v>
      </c>
      <c r="K155" t="n">
        <v>1830</v>
      </c>
      <c r="L155" t="n">
        <v>1196</v>
      </c>
      <c r="M155" t="n">
        <v>882</v>
      </c>
      <c r="N155" t="n">
        <v>278</v>
      </c>
      <c r="O155" s="6" t="n">
        <v>9729</v>
      </c>
      <c r="P155">
        <f>SUM(C155:H155)</f>
        <v/>
      </c>
      <c r="Q155">
        <f>I155</f>
        <v/>
      </c>
      <c r="R155">
        <f>J155</f>
        <v/>
      </c>
      <c r="S155">
        <f>SUM(K155:N155)</f>
        <v/>
      </c>
      <c r="T155">
        <f>SUM(P155:S155)</f>
        <v/>
      </c>
      <c r="U155" s="3">
        <f>IF(T155=0,"",P155/T155)</f>
        <v/>
      </c>
      <c r="V155" s="3">
        <f>IF(T155=0,"",Q155/T155)</f>
        <v/>
      </c>
      <c r="W155" s="3">
        <f>IF(T155=0,"",R155/T155)</f>
        <v/>
      </c>
      <c r="X155" s="3">
        <f>IF(T155=0,"",S155/T155)</f>
        <v/>
      </c>
      <c r="Y155" s="4">
        <f>IF(T155=0,"",U155*Pesos!$B$2+V155*Pesos!$B$3+W155*Pesos!$B$4+X155*Pesos!$B$5)</f>
        <v/>
      </c>
    </row>
    <row r="156">
      <c r="A156" s="2" t="n">
        <v>155</v>
      </c>
      <c r="B156" t="n">
        <v>8</v>
      </c>
      <c r="C156" t="n">
        <v>436</v>
      </c>
      <c r="D156" t="n">
        <v>426</v>
      </c>
      <c r="E156" t="n">
        <v>423</v>
      </c>
      <c r="F156" t="n">
        <v>329</v>
      </c>
      <c r="G156" t="n">
        <v>332</v>
      </c>
      <c r="H156" t="n">
        <v>261</v>
      </c>
      <c r="I156" t="n">
        <v>801</v>
      </c>
      <c r="J156" t="n">
        <v>1339</v>
      </c>
      <c r="K156" t="n">
        <v>1418</v>
      </c>
      <c r="L156" t="n">
        <v>994</v>
      </c>
      <c r="M156" t="n">
        <v>1003</v>
      </c>
      <c r="N156" t="n">
        <v>259</v>
      </c>
      <c r="O156" s="6" t="n">
        <v>8021</v>
      </c>
      <c r="P156">
        <f>SUM(C156:H156)</f>
        <v/>
      </c>
      <c r="Q156">
        <f>I156</f>
        <v/>
      </c>
      <c r="R156">
        <f>J156</f>
        <v/>
      </c>
      <c r="S156">
        <f>SUM(K156:N156)</f>
        <v/>
      </c>
      <c r="T156">
        <f>SUM(P156:S156)</f>
        <v/>
      </c>
      <c r="U156" s="3">
        <f>IF(T156=0,"",P156/T156)</f>
        <v/>
      </c>
      <c r="V156" s="3">
        <f>IF(T156=0,"",Q156/T156)</f>
        <v/>
      </c>
      <c r="W156" s="3">
        <f>IF(T156=0,"",R156/T156)</f>
        <v/>
      </c>
      <c r="X156" s="3">
        <f>IF(T156=0,"",S156/T156)</f>
        <v/>
      </c>
      <c r="Y156" s="4">
        <f>IF(T156=0,"",U156*Pesos!$B$2+V156*Pesos!$B$3+W156*Pesos!$B$4+X156*Pesos!$B$5)</f>
        <v/>
      </c>
    </row>
    <row r="157">
      <c r="A157" s="2" t="n">
        <v>156</v>
      </c>
      <c r="B157" t="n">
        <v>9</v>
      </c>
      <c r="C157" t="n">
        <v>592</v>
      </c>
      <c r="D157" t="n">
        <v>581</v>
      </c>
      <c r="E157" t="n">
        <v>580</v>
      </c>
      <c r="F157" t="n">
        <v>566</v>
      </c>
      <c r="G157" t="n">
        <v>361</v>
      </c>
      <c r="H157" t="n">
        <v>355</v>
      </c>
      <c r="I157" t="n">
        <v>921</v>
      </c>
      <c r="J157" t="n">
        <v>1734</v>
      </c>
      <c r="K157" t="n">
        <v>1629</v>
      </c>
      <c r="L157" t="n">
        <v>1101</v>
      </c>
      <c r="M157" t="n">
        <v>1169</v>
      </c>
      <c r="N157" t="n">
        <v>460</v>
      </c>
      <c r="O157" s="6" t="n">
        <v>10049</v>
      </c>
      <c r="P157">
        <f>SUM(C157:H157)</f>
        <v/>
      </c>
      <c r="Q157">
        <f>I157</f>
        <v/>
      </c>
      <c r="R157">
        <f>J157</f>
        <v/>
      </c>
      <c r="S157">
        <f>SUM(K157:N157)</f>
        <v/>
      </c>
      <c r="T157">
        <f>SUM(P157:S157)</f>
        <v/>
      </c>
      <c r="U157" s="3">
        <f>IF(T157=0,"",P157/T157)</f>
        <v/>
      </c>
      <c r="V157" s="3">
        <f>IF(T157=0,"",Q157/T157)</f>
        <v/>
      </c>
      <c r="W157" s="3">
        <f>IF(T157=0,"",R157/T157)</f>
        <v/>
      </c>
      <c r="X157" s="3">
        <f>IF(T157=0,"",S157/T157)</f>
        <v/>
      </c>
      <c r="Y157" s="4">
        <f>IF(T157=0,"",U157*Pesos!$B$2+V157*Pesos!$B$3+W157*Pesos!$B$4+X157*Pesos!$B$5)</f>
        <v/>
      </c>
    </row>
    <row r="158">
      <c r="A158" s="2" t="n">
        <v>157</v>
      </c>
      <c r="B158" t="n">
        <v>9</v>
      </c>
      <c r="C158" t="n">
        <v>528</v>
      </c>
      <c r="D158" t="n">
        <v>449</v>
      </c>
      <c r="E158" t="n">
        <v>525</v>
      </c>
      <c r="F158" t="n">
        <v>547</v>
      </c>
      <c r="G158" t="n">
        <v>367</v>
      </c>
      <c r="H158" t="n">
        <v>315</v>
      </c>
      <c r="I158" t="n">
        <v>1019</v>
      </c>
      <c r="J158" t="n">
        <v>1845</v>
      </c>
      <c r="K158" t="n">
        <v>1885</v>
      </c>
      <c r="L158" t="n">
        <v>1363</v>
      </c>
      <c r="M158" t="n">
        <v>1206</v>
      </c>
      <c r="N158" t="n">
        <v>267</v>
      </c>
      <c r="O158" s="6" t="n">
        <v>10316</v>
      </c>
      <c r="P158">
        <f>SUM(C158:H158)</f>
        <v/>
      </c>
      <c r="Q158">
        <f>I158</f>
        <v/>
      </c>
      <c r="R158">
        <f>J158</f>
        <v/>
      </c>
      <c r="S158">
        <f>SUM(K158:N158)</f>
        <v/>
      </c>
      <c r="T158">
        <f>SUM(P158:S158)</f>
        <v/>
      </c>
      <c r="U158" s="3">
        <f>IF(T158=0,"",P158/T158)</f>
        <v/>
      </c>
      <c r="V158" s="3">
        <f>IF(T158=0,"",Q158/T158)</f>
        <v/>
      </c>
      <c r="W158" s="3">
        <f>IF(T158=0,"",R158/T158)</f>
        <v/>
      </c>
      <c r="X158" s="3">
        <f>IF(T158=0,"",S158/T158)</f>
        <v/>
      </c>
      <c r="Y158" s="4">
        <f>IF(T158=0,"",U158*Pesos!$B$2+V158*Pesos!$B$3+W158*Pesos!$B$4+X158*Pesos!$B$5)</f>
        <v/>
      </c>
    </row>
    <row r="159">
      <c r="A159" s="2" t="n">
        <v>158</v>
      </c>
      <c r="B159" t="n">
        <v>9</v>
      </c>
      <c r="C159" t="n">
        <v>613</v>
      </c>
      <c r="D159" t="n">
        <v>548</v>
      </c>
      <c r="E159" t="n">
        <v>759</v>
      </c>
      <c r="F159" t="n">
        <v>433</v>
      </c>
      <c r="G159" t="n">
        <v>334</v>
      </c>
      <c r="H159" t="n">
        <v>268</v>
      </c>
      <c r="I159" t="n">
        <v>931</v>
      </c>
      <c r="J159" t="n">
        <v>1928</v>
      </c>
      <c r="K159" t="n">
        <v>2340</v>
      </c>
      <c r="L159" t="n">
        <v>1141</v>
      </c>
      <c r="M159" t="n">
        <v>779</v>
      </c>
      <c r="N159" t="n">
        <v>253</v>
      </c>
      <c r="O159" s="6" t="n">
        <v>10327</v>
      </c>
      <c r="P159">
        <f>SUM(C159:H159)</f>
        <v/>
      </c>
      <c r="Q159">
        <f>I159</f>
        <v/>
      </c>
      <c r="R159">
        <f>J159</f>
        <v/>
      </c>
      <c r="S159">
        <f>SUM(K159:N159)</f>
        <v/>
      </c>
      <c r="T159">
        <f>SUM(P159:S159)</f>
        <v/>
      </c>
      <c r="U159" s="3">
        <f>IF(T159=0,"",P159/T159)</f>
        <v/>
      </c>
      <c r="V159" s="3">
        <f>IF(T159=0,"",Q159/T159)</f>
        <v/>
      </c>
      <c r="W159" s="3">
        <f>IF(T159=0,"",R159/T159)</f>
        <v/>
      </c>
      <c r="X159" s="3">
        <f>IF(T159=0,"",S159/T159)</f>
        <v/>
      </c>
      <c r="Y159" s="4">
        <f>IF(T159=0,"",U159*Pesos!$B$2+V159*Pesos!$B$3+W159*Pesos!$B$4+X159*Pesos!$B$5)</f>
        <v/>
      </c>
    </row>
    <row r="160">
      <c r="A160" s="2" t="n">
        <v>159</v>
      </c>
      <c r="B160" t="n">
        <v>8</v>
      </c>
      <c r="C160" t="n">
        <v>585</v>
      </c>
      <c r="D160" t="n">
        <v>561</v>
      </c>
      <c r="E160" t="n">
        <v>607</v>
      </c>
      <c r="F160" t="n">
        <v>433</v>
      </c>
      <c r="G160" t="n">
        <v>359</v>
      </c>
      <c r="H160" t="n">
        <v>290</v>
      </c>
      <c r="I160" t="n">
        <v>960</v>
      </c>
      <c r="J160" t="n">
        <v>1891</v>
      </c>
      <c r="K160" t="n">
        <v>2469</v>
      </c>
      <c r="L160" t="n">
        <v>1466</v>
      </c>
      <c r="M160" t="n">
        <v>662</v>
      </c>
      <c r="N160" t="n">
        <v>175</v>
      </c>
      <c r="O160" s="6" t="n">
        <v>10458</v>
      </c>
      <c r="P160">
        <f>SUM(C160:H160)</f>
        <v/>
      </c>
      <c r="Q160">
        <f>I160</f>
        <v/>
      </c>
      <c r="R160">
        <f>J160</f>
        <v/>
      </c>
      <c r="S160">
        <f>SUM(K160:N160)</f>
        <v/>
      </c>
      <c r="T160">
        <f>SUM(P160:S160)</f>
        <v/>
      </c>
      <c r="U160" s="3">
        <f>IF(T160=0,"",P160/T160)</f>
        <v/>
      </c>
      <c r="V160" s="3">
        <f>IF(T160=0,"",Q160/T160)</f>
        <v/>
      </c>
      <c r="W160" s="3">
        <f>IF(T160=0,"",R160/T160)</f>
        <v/>
      </c>
      <c r="X160" s="3">
        <f>IF(T160=0,"",S160/T160)</f>
        <v/>
      </c>
      <c r="Y160" s="4">
        <f>IF(T160=0,"",U160*Pesos!$B$2+V160*Pesos!$B$3+W160*Pesos!$B$4+X160*Pesos!$B$5)</f>
        <v/>
      </c>
    </row>
    <row r="161">
      <c r="A161" s="2" t="n">
        <v>160</v>
      </c>
      <c r="B161" t="n">
        <v>8</v>
      </c>
      <c r="C161" t="n">
        <v>483</v>
      </c>
      <c r="D161" t="n">
        <v>414</v>
      </c>
      <c r="E161" t="n">
        <v>501</v>
      </c>
      <c r="F161" t="n">
        <v>432</v>
      </c>
      <c r="G161" t="n">
        <v>339</v>
      </c>
      <c r="H161" t="n">
        <v>428</v>
      </c>
      <c r="I161" t="n">
        <v>906</v>
      </c>
      <c r="J161" t="n">
        <v>1931</v>
      </c>
      <c r="K161" t="n">
        <v>2181</v>
      </c>
      <c r="L161" t="n">
        <v>1215</v>
      </c>
      <c r="M161" t="n">
        <v>1070</v>
      </c>
      <c r="N161" t="n">
        <v>86</v>
      </c>
      <c r="O161" s="6" t="n">
        <v>9986</v>
      </c>
      <c r="P161">
        <f>SUM(C161:H161)</f>
        <v/>
      </c>
      <c r="Q161">
        <f>I161</f>
        <v/>
      </c>
      <c r="R161">
        <f>J161</f>
        <v/>
      </c>
      <c r="S161">
        <f>SUM(K161:N161)</f>
        <v/>
      </c>
      <c r="T161">
        <f>SUM(P161:S161)</f>
        <v/>
      </c>
      <c r="U161" s="3">
        <f>IF(T161=0,"",P161/T161)</f>
        <v/>
      </c>
      <c r="V161" s="3">
        <f>IF(T161=0,"",Q161/T161)</f>
        <v/>
      </c>
      <c r="W161" s="3">
        <f>IF(T161=0,"",R161/T161)</f>
        <v/>
      </c>
      <c r="X161" s="3">
        <f>IF(T161=0,"",S161/T161)</f>
        <v/>
      </c>
      <c r="Y161" s="4">
        <f>IF(T161=0,"",U161*Pesos!$B$2+V161*Pesos!$B$3+W161*Pesos!$B$4+X161*Pesos!$B$5)</f>
        <v/>
      </c>
    </row>
    <row r="162">
      <c r="A162" s="2" t="n">
        <v>161</v>
      </c>
      <c r="B162" t="n">
        <v>7</v>
      </c>
      <c r="C162" t="n">
        <v>457</v>
      </c>
      <c r="D162" t="n">
        <v>612</v>
      </c>
      <c r="E162" t="n">
        <v>524</v>
      </c>
      <c r="F162" t="n">
        <v>407</v>
      </c>
      <c r="G162" t="n">
        <v>349</v>
      </c>
      <c r="H162" t="n">
        <v>201</v>
      </c>
      <c r="I162" t="n">
        <v>805</v>
      </c>
      <c r="J162" t="n">
        <v>2147</v>
      </c>
      <c r="K162" t="n">
        <v>2001</v>
      </c>
      <c r="L162" t="n">
        <v>1665</v>
      </c>
      <c r="M162" t="n">
        <v>319</v>
      </c>
      <c r="N162" t="n">
        <v>39</v>
      </c>
      <c r="O162" s="6" t="n">
        <v>9526</v>
      </c>
      <c r="P162">
        <f>SUM(C162:H162)</f>
        <v/>
      </c>
      <c r="Q162">
        <f>I162</f>
        <v/>
      </c>
      <c r="R162">
        <f>J162</f>
        <v/>
      </c>
      <c r="S162">
        <f>SUM(K162:N162)</f>
        <v/>
      </c>
      <c r="T162">
        <f>SUM(P162:S162)</f>
        <v/>
      </c>
      <c r="U162" s="3">
        <f>IF(T162=0,"",P162/T162)</f>
        <v/>
      </c>
      <c r="V162" s="3">
        <f>IF(T162=0,"",Q162/T162)</f>
        <v/>
      </c>
      <c r="W162" s="3">
        <f>IF(T162=0,"",R162/T162)</f>
        <v/>
      </c>
      <c r="X162" s="3">
        <f>IF(T162=0,"",S162/T162)</f>
        <v/>
      </c>
      <c r="Y162" s="4">
        <f>IF(T162=0,"",U162*Pesos!$B$2+V162*Pesos!$B$3+W162*Pesos!$B$4+X162*Pesos!$B$5)</f>
        <v/>
      </c>
    </row>
    <row r="163">
      <c r="A163" s="2" t="n">
        <v>162</v>
      </c>
      <c r="B163" t="n">
        <v>11</v>
      </c>
      <c r="C163" t="n">
        <v>316</v>
      </c>
      <c r="D163" t="n">
        <v>317</v>
      </c>
      <c r="E163" t="n">
        <v>373</v>
      </c>
      <c r="F163" t="n">
        <v>426</v>
      </c>
      <c r="G163" t="n">
        <v>305</v>
      </c>
      <c r="H163" t="n">
        <v>254</v>
      </c>
      <c r="I163" t="n">
        <v>954</v>
      </c>
      <c r="J163" t="n">
        <v>1737</v>
      </c>
      <c r="K163" t="n">
        <v>2249</v>
      </c>
      <c r="L163" t="n">
        <v>3238</v>
      </c>
      <c r="M163" t="n">
        <v>327</v>
      </c>
      <c r="N163" t="n">
        <v>15</v>
      </c>
      <c r="O163" s="6" t="n">
        <v>10511</v>
      </c>
      <c r="P163">
        <f>SUM(C163:H163)</f>
        <v/>
      </c>
      <c r="Q163">
        <f>I163</f>
        <v/>
      </c>
      <c r="R163">
        <f>J163</f>
        <v/>
      </c>
      <c r="S163">
        <f>SUM(K163:N163)</f>
        <v/>
      </c>
      <c r="T163">
        <f>SUM(P163:S163)</f>
        <v/>
      </c>
      <c r="U163" s="3">
        <f>IF(T163=0,"",P163/T163)</f>
        <v/>
      </c>
      <c r="V163" s="3">
        <f>IF(T163=0,"",Q163/T163)</f>
        <v/>
      </c>
      <c r="W163" s="3">
        <f>IF(T163=0,"",R163/T163)</f>
        <v/>
      </c>
      <c r="X163" s="3">
        <f>IF(T163=0,"",S163/T163)</f>
        <v/>
      </c>
      <c r="Y163" s="4">
        <f>IF(T163=0,"",U163*Pesos!$B$2+V163*Pesos!$B$3+W163*Pesos!$B$4+X163*Pesos!$B$5)</f>
        <v/>
      </c>
    </row>
    <row r="164">
      <c r="A164" s="2" t="n">
        <v>163</v>
      </c>
      <c r="B164" t="n">
        <v>7</v>
      </c>
      <c r="C164" t="n">
        <v>639</v>
      </c>
      <c r="D164" t="n">
        <v>599</v>
      </c>
      <c r="E164" t="n">
        <v>648</v>
      </c>
      <c r="F164" t="n">
        <v>503</v>
      </c>
      <c r="G164" t="n">
        <v>326</v>
      </c>
      <c r="H164" t="n">
        <v>286</v>
      </c>
      <c r="I164" t="n">
        <v>828</v>
      </c>
      <c r="J164" t="n">
        <v>1655</v>
      </c>
      <c r="K164" t="n">
        <v>1602</v>
      </c>
      <c r="L164" t="n">
        <v>960</v>
      </c>
      <c r="M164" t="n">
        <v>510</v>
      </c>
      <c r="N164" t="n">
        <v>101</v>
      </c>
      <c r="O164" s="6" t="n">
        <v>8657</v>
      </c>
      <c r="P164">
        <f>SUM(C164:H164)</f>
        <v/>
      </c>
      <c r="Q164">
        <f>I164</f>
        <v/>
      </c>
      <c r="R164">
        <f>J164</f>
        <v/>
      </c>
      <c r="S164">
        <f>SUM(K164:N164)</f>
        <v/>
      </c>
      <c r="T164">
        <f>SUM(P164:S164)</f>
        <v/>
      </c>
      <c r="U164" s="3">
        <f>IF(T164=0,"",P164/T164)</f>
        <v/>
      </c>
      <c r="V164" s="3">
        <f>IF(T164=0,"",Q164/T164)</f>
        <v/>
      </c>
      <c r="W164" s="3">
        <f>IF(T164=0,"",R164/T164)</f>
        <v/>
      </c>
      <c r="X164" s="3">
        <f>IF(T164=0,"",S164/T164)</f>
        <v/>
      </c>
      <c r="Y164" s="4">
        <f>IF(T164=0,"",U164*Pesos!$B$2+V164*Pesos!$B$3+W164*Pesos!$B$4+X164*Pesos!$B$5)</f>
        <v/>
      </c>
    </row>
    <row r="165">
      <c r="A165" s="2" t="n">
        <v>164</v>
      </c>
      <c r="B165" t="n">
        <v>9</v>
      </c>
      <c r="C165" t="n">
        <v>341</v>
      </c>
      <c r="D165" t="n">
        <v>522</v>
      </c>
      <c r="E165" t="n">
        <v>472</v>
      </c>
      <c r="F165" t="n">
        <v>470</v>
      </c>
      <c r="G165" t="n">
        <v>326</v>
      </c>
      <c r="H165" t="n">
        <v>306</v>
      </c>
      <c r="I165" t="n">
        <v>876</v>
      </c>
      <c r="J165" t="n">
        <v>1789</v>
      </c>
      <c r="K165" t="n">
        <v>1624</v>
      </c>
      <c r="L165" t="n">
        <v>1247</v>
      </c>
      <c r="M165" t="n">
        <v>807</v>
      </c>
      <c r="N165" t="n">
        <v>171</v>
      </c>
      <c r="O165" s="6" t="n">
        <v>8951</v>
      </c>
      <c r="P165">
        <f>SUM(C165:H165)</f>
        <v/>
      </c>
      <c r="Q165">
        <f>I165</f>
        <v/>
      </c>
      <c r="R165">
        <f>J165</f>
        <v/>
      </c>
      <c r="S165">
        <f>SUM(K165:N165)</f>
        <v/>
      </c>
      <c r="T165">
        <f>SUM(P165:S165)</f>
        <v/>
      </c>
      <c r="U165" s="3">
        <f>IF(T165=0,"",P165/T165)</f>
        <v/>
      </c>
      <c r="V165" s="3">
        <f>IF(T165=0,"",Q165/T165)</f>
        <v/>
      </c>
      <c r="W165" s="3">
        <f>IF(T165=0,"",R165/T165)</f>
        <v/>
      </c>
      <c r="X165" s="3">
        <f>IF(T165=0,"",S165/T165)</f>
        <v/>
      </c>
      <c r="Y165" s="4">
        <f>IF(T165=0,"",U165*Pesos!$B$2+V165*Pesos!$B$3+W165*Pesos!$B$4+X165*Pesos!$B$5)</f>
        <v/>
      </c>
    </row>
    <row r="166">
      <c r="A166" s="2" t="n">
        <v>165</v>
      </c>
      <c r="B166" t="n">
        <v>8</v>
      </c>
      <c r="C166" t="n">
        <v>702</v>
      </c>
      <c r="D166" t="n">
        <v>484</v>
      </c>
      <c r="E166" t="n">
        <v>523</v>
      </c>
      <c r="F166" t="n">
        <v>429</v>
      </c>
      <c r="G166" t="n">
        <v>391</v>
      </c>
      <c r="H166" t="n">
        <v>329</v>
      </c>
      <c r="I166" t="n">
        <v>729</v>
      </c>
      <c r="J166" t="n">
        <v>1414</v>
      </c>
      <c r="K166" t="n">
        <v>1555</v>
      </c>
      <c r="L166" t="n">
        <v>958</v>
      </c>
      <c r="M166" t="n">
        <v>829</v>
      </c>
      <c r="N166" t="n">
        <v>369</v>
      </c>
      <c r="O166" s="6" t="n">
        <v>8712</v>
      </c>
      <c r="P166">
        <f>SUM(C166:H166)</f>
        <v/>
      </c>
      <c r="Q166">
        <f>I166</f>
        <v/>
      </c>
      <c r="R166">
        <f>J166</f>
        <v/>
      </c>
      <c r="S166">
        <f>SUM(K166:N166)</f>
        <v/>
      </c>
      <c r="T166">
        <f>SUM(P166:S166)</f>
        <v/>
      </c>
      <c r="U166" s="3">
        <f>IF(T166=0,"",P166/T166)</f>
        <v/>
      </c>
      <c r="V166" s="3">
        <f>IF(T166=0,"",Q166/T166)</f>
        <v/>
      </c>
      <c r="W166" s="3">
        <f>IF(T166=0,"",R166/T166)</f>
        <v/>
      </c>
      <c r="X166" s="3">
        <f>IF(T166=0,"",S166/T166)</f>
        <v/>
      </c>
      <c r="Y166" s="4">
        <f>IF(T166=0,"",U166*Pesos!$B$2+V166*Pesos!$B$3+W166*Pesos!$B$4+X166*Pesos!$B$5)</f>
        <v/>
      </c>
    </row>
    <row r="167">
      <c r="A167" s="2" t="n">
        <v>166</v>
      </c>
      <c r="B167" t="n">
        <v>11</v>
      </c>
      <c r="C167" t="n">
        <v>587</v>
      </c>
      <c r="D167" t="n">
        <v>545</v>
      </c>
      <c r="E167" t="n">
        <v>469</v>
      </c>
      <c r="F167" t="n">
        <v>531</v>
      </c>
      <c r="G167" t="n">
        <v>372</v>
      </c>
      <c r="H167" t="n">
        <v>348</v>
      </c>
      <c r="I167" t="n">
        <v>859</v>
      </c>
      <c r="J167" t="n">
        <v>1659</v>
      </c>
      <c r="K167" t="n">
        <v>1542</v>
      </c>
      <c r="L167" t="n">
        <v>1137</v>
      </c>
      <c r="M167" t="n">
        <v>1132</v>
      </c>
      <c r="N167" t="n">
        <v>312</v>
      </c>
      <c r="O167" s="6" t="n">
        <v>9493</v>
      </c>
      <c r="P167">
        <f>SUM(C167:H167)</f>
        <v/>
      </c>
      <c r="Q167">
        <f>I167</f>
        <v/>
      </c>
      <c r="R167">
        <f>J167</f>
        <v/>
      </c>
      <c r="S167">
        <f>SUM(K167:N167)</f>
        <v/>
      </c>
      <c r="T167">
        <f>SUM(P167:S167)</f>
        <v/>
      </c>
      <c r="U167" s="3">
        <f>IF(T167=0,"",P167/T167)</f>
        <v/>
      </c>
      <c r="V167" s="3">
        <f>IF(T167=0,"",Q167/T167)</f>
        <v/>
      </c>
      <c r="W167" s="3">
        <f>IF(T167=0,"",R167/T167)</f>
        <v/>
      </c>
      <c r="X167" s="3">
        <f>IF(T167=0,"",S167/T167)</f>
        <v/>
      </c>
      <c r="Y167" s="4">
        <f>IF(T167=0,"",U167*Pesos!$B$2+V167*Pesos!$B$3+W167*Pesos!$B$4+X167*Pesos!$B$5)</f>
        <v/>
      </c>
    </row>
    <row r="168">
      <c r="A168" s="2" t="n">
        <v>167</v>
      </c>
      <c r="B168" t="n">
        <v>7</v>
      </c>
      <c r="C168" t="n">
        <v>481</v>
      </c>
      <c r="D168" t="n">
        <v>463</v>
      </c>
      <c r="E168" t="n">
        <v>518</v>
      </c>
      <c r="F168" t="n">
        <v>474</v>
      </c>
      <c r="G168" t="n">
        <v>295</v>
      </c>
      <c r="H168" t="n">
        <v>265</v>
      </c>
      <c r="I168" t="n">
        <v>782</v>
      </c>
      <c r="J168" t="n">
        <v>1671</v>
      </c>
      <c r="K168" t="n">
        <v>1577</v>
      </c>
      <c r="L168" t="n">
        <v>1064</v>
      </c>
      <c r="M168" t="n">
        <v>488</v>
      </c>
      <c r="N168" t="n">
        <v>91</v>
      </c>
      <c r="O168" s="6" t="n">
        <v>8169</v>
      </c>
      <c r="P168">
        <f>SUM(C168:H168)</f>
        <v/>
      </c>
      <c r="Q168">
        <f>I168</f>
        <v/>
      </c>
      <c r="R168">
        <f>J168</f>
        <v/>
      </c>
      <c r="S168">
        <f>SUM(K168:N168)</f>
        <v/>
      </c>
      <c r="T168">
        <f>SUM(P168:S168)</f>
        <v/>
      </c>
      <c r="U168" s="3">
        <f>IF(T168=0,"",P168/T168)</f>
        <v/>
      </c>
      <c r="V168" s="3">
        <f>IF(T168=0,"",Q168/T168)</f>
        <v/>
      </c>
      <c r="W168" s="3">
        <f>IF(T168=0,"",R168/T168)</f>
        <v/>
      </c>
      <c r="X168" s="3">
        <f>IF(T168=0,"",S168/T168)</f>
        <v/>
      </c>
      <c r="Y168" s="4">
        <f>IF(T168=0,"",U168*Pesos!$B$2+V168*Pesos!$B$3+W168*Pesos!$B$4+X168*Pesos!$B$5)</f>
        <v/>
      </c>
    </row>
    <row r="169">
      <c r="A169" s="2" t="n">
        <v>168</v>
      </c>
      <c r="B169" t="n">
        <v>8</v>
      </c>
      <c r="C169" t="n">
        <v>449</v>
      </c>
      <c r="D169" t="n">
        <v>429</v>
      </c>
      <c r="E169" t="n">
        <v>398</v>
      </c>
      <c r="F169" t="n">
        <v>353</v>
      </c>
      <c r="G169" t="n">
        <v>242</v>
      </c>
      <c r="H169" t="n">
        <v>275</v>
      </c>
      <c r="I169" t="n">
        <v>747</v>
      </c>
      <c r="J169" t="n">
        <v>1224</v>
      </c>
      <c r="K169" t="n">
        <v>1392</v>
      </c>
      <c r="L169" t="n">
        <v>997</v>
      </c>
      <c r="M169" t="n">
        <v>581</v>
      </c>
      <c r="N169" t="n">
        <v>45</v>
      </c>
      <c r="O169" s="6" t="n">
        <v>7132</v>
      </c>
      <c r="P169">
        <f>SUM(C169:H169)</f>
        <v/>
      </c>
      <c r="Q169">
        <f>I169</f>
        <v/>
      </c>
      <c r="R169">
        <f>J169</f>
        <v/>
      </c>
      <c r="S169">
        <f>SUM(K169:N169)</f>
        <v/>
      </c>
      <c r="T169">
        <f>SUM(P169:S169)</f>
        <v/>
      </c>
      <c r="U169" s="3">
        <f>IF(T169=0,"",P169/T169)</f>
        <v/>
      </c>
      <c r="V169" s="3">
        <f>IF(T169=0,"",Q169/T169)</f>
        <v/>
      </c>
      <c r="W169" s="3">
        <f>IF(T169=0,"",R169/T169)</f>
        <v/>
      </c>
      <c r="X169" s="3">
        <f>IF(T169=0,"",S169/T169)</f>
        <v/>
      </c>
      <c r="Y169" s="4">
        <f>IF(T169=0,"",U169*Pesos!$B$2+V169*Pesos!$B$3+W169*Pesos!$B$4+X169*Pesos!$B$5)</f>
        <v/>
      </c>
    </row>
    <row r="170">
      <c r="A170" s="2" t="n">
        <v>169</v>
      </c>
      <c r="B170" t="n">
        <v>8</v>
      </c>
      <c r="C170" t="n">
        <v>772</v>
      </c>
      <c r="D170" t="n">
        <v>736</v>
      </c>
      <c r="E170" t="n">
        <v>715</v>
      </c>
      <c r="F170" t="n">
        <v>651</v>
      </c>
      <c r="G170" t="n">
        <v>417</v>
      </c>
      <c r="H170" t="n">
        <v>332</v>
      </c>
      <c r="I170" t="n">
        <v>1080</v>
      </c>
      <c r="J170" t="n">
        <v>2070</v>
      </c>
      <c r="K170" t="n">
        <v>2643</v>
      </c>
      <c r="L170" t="n">
        <v>1108</v>
      </c>
      <c r="M170" t="n">
        <v>984</v>
      </c>
      <c r="N170" t="n">
        <v>59</v>
      </c>
      <c r="O170" s="6" t="n">
        <v>11567</v>
      </c>
      <c r="P170">
        <f>SUM(C170:H170)</f>
        <v/>
      </c>
      <c r="Q170">
        <f>I170</f>
        <v/>
      </c>
      <c r="R170">
        <f>J170</f>
        <v/>
      </c>
      <c r="S170">
        <f>SUM(K170:N170)</f>
        <v/>
      </c>
      <c r="T170">
        <f>SUM(P170:S170)</f>
        <v/>
      </c>
      <c r="U170" s="3">
        <f>IF(T170=0,"",P170/T170)</f>
        <v/>
      </c>
      <c r="V170" s="3">
        <f>IF(T170=0,"",Q170/T170)</f>
        <v/>
      </c>
      <c r="W170" s="3">
        <f>IF(T170=0,"",R170/T170)</f>
        <v/>
      </c>
      <c r="X170" s="3">
        <f>IF(T170=0,"",S170/T170)</f>
        <v/>
      </c>
      <c r="Y170" s="4">
        <f>IF(T170=0,"",U170*Pesos!$B$2+V170*Pesos!$B$3+W170*Pesos!$B$4+X170*Pesos!$B$5)</f>
        <v/>
      </c>
    </row>
    <row r="171">
      <c r="A171" s="2" t="n">
        <v>170</v>
      </c>
      <c r="B171" t="n">
        <v>9</v>
      </c>
      <c r="C171" t="n">
        <v>661</v>
      </c>
      <c r="D171" t="n">
        <v>752</v>
      </c>
      <c r="E171" t="n">
        <v>688</v>
      </c>
      <c r="F171" t="n">
        <v>574</v>
      </c>
      <c r="G171" t="n">
        <v>535</v>
      </c>
      <c r="H171" t="n">
        <v>407</v>
      </c>
      <c r="I171" t="n">
        <v>1181</v>
      </c>
      <c r="J171" t="n">
        <v>2485</v>
      </c>
      <c r="K171" t="n">
        <v>2599</v>
      </c>
      <c r="L171" t="n">
        <v>1531</v>
      </c>
      <c r="M171" t="n">
        <v>315</v>
      </c>
      <c r="N171" t="n">
        <v>29</v>
      </c>
      <c r="O171" s="6" t="n">
        <v>11757</v>
      </c>
      <c r="P171">
        <f>SUM(C171:H171)</f>
        <v/>
      </c>
      <c r="Q171">
        <f>I171</f>
        <v/>
      </c>
      <c r="R171">
        <f>J171</f>
        <v/>
      </c>
      <c r="S171">
        <f>SUM(K171:N171)</f>
        <v/>
      </c>
      <c r="T171">
        <f>SUM(P171:S171)</f>
        <v/>
      </c>
      <c r="U171" s="3">
        <f>IF(T171=0,"",P171/T171)</f>
        <v/>
      </c>
      <c r="V171" s="3">
        <f>IF(T171=0,"",Q171/T171)</f>
        <v/>
      </c>
      <c r="W171" s="3">
        <f>IF(T171=0,"",R171/T171)</f>
        <v/>
      </c>
      <c r="X171" s="3">
        <f>IF(T171=0,"",S171/T171)</f>
        <v/>
      </c>
      <c r="Y171" s="4">
        <f>IF(T171=0,"",U171*Pesos!$B$2+V171*Pesos!$B$3+W171*Pesos!$B$4+X171*Pesos!$B$5)</f>
        <v/>
      </c>
    </row>
    <row r="172">
      <c r="A172" s="2" t="n">
        <v>171</v>
      </c>
      <c r="B172" t="n">
        <v>10</v>
      </c>
      <c r="C172" t="n">
        <v>853</v>
      </c>
      <c r="D172" t="n">
        <v>561</v>
      </c>
      <c r="E172" t="n">
        <v>881</v>
      </c>
      <c r="F172" t="n">
        <v>637</v>
      </c>
      <c r="G172" t="n">
        <v>607</v>
      </c>
      <c r="H172" t="n">
        <v>434</v>
      </c>
      <c r="I172" t="n">
        <v>1260</v>
      </c>
      <c r="J172" t="n">
        <v>4996</v>
      </c>
      <c r="K172" t="n">
        <v>2284</v>
      </c>
      <c r="L172" t="n">
        <v>1273</v>
      </c>
      <c r="M172" t="n">
        <v>58</v>
      </c>
      <c r="N172" t="n">
        <v>11</v>
      </c>
      <c r="O172" s="6" t="n">
        <v>13855</v>
      </c>
      <c r="P172">
        <f>SUM(C172:H172)</f>
        <v/>
      </c>
      <c r="Q172">
        <f>I172</f>
        <v/>
      </c>
      <c r="R172">
        <f>J172</f>
        <v/>
      </c>
      <c r="S172">
        <f>SUM(K172:N172)</f>
        <v/>
      </c>
      <c r="T172">
        <f>SUM(P172:S172)</f>
        <v/>
      </c>
      <c r="U172" s="3">
        <f>IF(T172=0,"",P172/T172)</f>
        <v/>
      </c>
      <c r="V172" s="3">
        <f>IF(T172=0,"",Q172/T172)</f>
        <v/>
      </c>
      <c r="W172" s="3">
        <f>IF(T172=0,"",R172/T172)</f>
        <v/>
      </c>
      <c r="X172" s="3">
        <f>IF(T172=0,"",S172/T172)</f>
        <v/>
      </c>
      <c r="Y172" s="4">
        <f>IF(T172=0,"",U172*Pesos!$B$2+V172*Pesos!$B$3+W172*Pesos!$B$4+X172*Pesos!$B$5)</f>
        <v/>
      </c>
    </row>
    <row r="173">
      <c r="A173" s="2" t="n">
        <v>172</v>
      </c>
      <c r="B173" t="n">
        <v>9</v>
      </c>
      <c r="C173" t="n">
        <v>741</v>
      </c>
      <c r="D173" t="n">
        <v>745</v>
      </c>
      <c r="E173" t="n">
        <v>995</v>
      </c>
      <c r="F173" t="n">
        <v>599</v>
      </c>
      <c r="G173" t="n">
        <v>394</v>
      </c>
      <c r="H173" t="n">
        <v>295</v>
      </c>
      <c r="I173" t="n">
        <v>975</v>
      </c>
      <c r="J173" t="n">
        <v>2192</v>
      </c>
      <c r="K173" t="n">
        <v>2388</v>
      </c>
      <c r="L173" t="n">
        <v>1798</v>
      </c>
      <c r="M173" t="n">
        <v>1071</v>
      </c>
      <c r="N173" t="n">
        <v>147</v>
      </c>
      <c r="O173" s="6" t="n">
        <v>12340</v>
      </c>
      <c r="P173">
        <f>SUM(C173:H173)</f>
        <v/>
      </c>
      <c r="Q173">
        <f>I173</f>
        <v/>
      </c>
      <c r="R173">
        <f>J173</f>
        <v/>
      </c>
      <c r="S173">
        <f>SUM(K173:N173)</f>
        <v/>
      </c>
      <c r="T173">
        <f>SUM(P173:S173)</f>
        <v/>
      </c>
      <c r="U173" s="3">
        <f>IF(T173=0,"",P173/T173)</f>
        <v/>
      </c>
      <c r="V173" s="3">
        <f>IF(T173=0,"",Q173/T173)</f>
        <v/>
      </c>
      <c r="W173" s="3">
        <f>IF(T173=0,"",R173/T173)</f>
        <v/>
      </c>
      <c r="X173" s="3">
        <f>IF(T173=0,"",S173/T173)</f>
        <v/>
      </c>
      <c r="Y173" s="4">
        <f>IF(T173=0,"",U173*Pesos!$B$2+V173*Pesos!$B$3+W173*Pesos!$B$4+X173*Pesos!$B$5)</f>
        <v/>
      </c>
    </row>
    <row r="174">
      <c r="A174" s="2" t="n">
        <v>173</v>
      </c>
      <c r="B174" t="n">
        <v>12</v>
      </c>
      <c r="C174" t="n">
        <v>819</v>
      </c>
      <c r="D174" t="n">
        <v>798</v>
      </c>
      <c r="E174" t="n">
        <v>952</v>
      </c>
      <c r="F174" t="n">
        <v>729</v>
      </c>
      <c r="G174" t="n">
        <v>572</v>
      </c>
      <c r="H174" t="n">
        <v>459</v>
      </c>
      <c r="I174" t="n">
        <v>1863</v>
      </c>
      <c r="J174" t="n">
        <v>4348</v>
      </c>
      <c r="K174" t="n">
        <v>2036</v>
      </c>
      <c r="L174" t="n">
        <v>2150</v>
      </c>
      <c r="M174" t="n">
        <v>1146</v>
      </c>
      <c r="N174" t="n">
        <v>8</v>
      </c>
      <c r="O174" s="6" t="n">
        <v>15880</v>
      </c>
      <c r="P174">
        <f>SUM(C174:H174)</f>
        <v/>
      </c>
      <c r="Q174">
        <f>I174</f>
        <v/>
      </c>
      <c r="R174">
        <f>J174</f>
        <v/>
      </c>
      <c r="S174">
        <f>SUM(K174:N174)</f>
        <v/>
      </c>
      <c r="T174">
        <f>SUM(P174:S174)</f>
        <v/>
      </c>
      <c r="U174" s="3">
        <f>IF(T174=0,"",P174/T174)</f>
        <v/>
      </c>
      <c r="V174" s="3">
        <f>IF(T174=0,"",Q174/T174)</f>
        <v/>
      </c>
      <c r="W174" s="3">
        <f>IF(T174=0,"",R174/T174)</f>
        <v/>
      </c>
      <c r="X174" s="3">
        <f>IF(T174=0,"",S174/T174)</f>
        <v/>
      </c>
      <c r="Y174" s="4">
        <f>IF(T174=0,"",U174*Pesos!$B$2+V174*Pesos!$B$3+W174*Pesos!$B$4+X174*Pesos!$B$5)</f>
        <v/>
      </c>
    </row>
    <row r="175">
      <c r="A175" s="2" t="n">
        <v>174</v>
      </c>
      <c r="B175" t="n">
        <v>7</v>
      </c>
      <c r="C175" t="n">
        <v>859</v>
      </c>
      <c r="D175" t="n">
        <v>830</v>
      </c>
      <c r="E175" t="n">
        <v>714</v>
      </c>
      <c r="F175" t="n">
        <v>556</v>
      </c>
      <c r="G175" t="n">
        <v>382</v>
      </c>
      <c r="H175" t="n">
        <v>256</v>
      </c>
      <c r="I175" t="n">
        <v>849</v>
      </c>
      <c r="J175" t="n">
        <v>1263</v>
      </c>
      <c r="K175" t="n">
        <v>1277</v>
      </c>
      <c r="L175" t="n">
        <v>1014</v>
      </c>
      <c r="M175" t="n">
        <v>624</v>
      </c>
      <c r="N175" t="n">
        <v>306</v>
      </c>
      <c r="O175" s="6" t="n">
        <v>8930</v>
      </c>
      <c r="P175">
        <f>SUM(C175:H175)</f>
        <v/>
      </c>
      <c r="Q175">
        <f>I175</f>
        <v/>
      </c>
      <c r="R175">
        <f>J175</f>
        <v/>
      </c>
      <c r="S175">
        <f>SUM(K175:N175)</f>
        <v/>
      </c>
      <c r="T175">
        <f>SUM(P175:S175)</f>
        <v/>
      </c>
      <c r="U175" s="3">
        <f>IF(T175=0,"",P175/T175)</f>
        <v/>
      </c>
      <c r="V175" s="3">
        <f>IF(T175=0,"",Q175/T175)</f>
        <v/>
      </c>
      <c r="W175" s="3">
        <f>IF(T175=0,"",R175/T175)</f>
        <v/>
      </c>
      <c r="X175" s="3">
        <f>IF(T175=0,"",S175/T175)</f>
        <v/>
      </c>
      <c r="Y175" s="4">
        <f>IF(T175=0,"",U175*Pesos!$B$2+V175*Pesos!$B$3+W175*Pesos!$B$4+X175*Pesos!$B$5)</f>
        <v/>
      </c>
    </row>
    <row r="176">
      <c r="A176" s="2" t="n">
        <v>175</v>
      </c>
      <c r="B176" t="n">
        <v>7</v>
      </c>
      <c r="C176" t="n">
        <v>578</v>
      </c>
      <c r="D176" t="n">
        <v>625</v>
      </c>
      <c r="E176" t="n">
        <v>581</v>
      </c>
      <c r="F176" t="n">
        <v>492</v>
      </c>
      <c r="G176" t="n">
        <v>353</v>
      </c>
      <c r="H176" t="n">
        <v>308</v>
      </c>
      <c r="I176" t="n">
        <v>1213</v>
      </c>
      <c r="J176" t="n">
        <v>1835</v>
      </c>
      <c r="K176" t="n">
        <v>1926</v>
      </c>
      <c r="L176" t="n">
        <v>745</v>
      </c>
      <c r="M176" t="n">
        <v>424</v>
      </c>
      <c r="N176" t="n">
        <v>87</v>
      </c>
      <c r="O176" s="6" t="n">
        <v>9167</v>
      </c>
      <c r="P176">
        <f>SUM(C176:H176)</f>
        <v/>
      </c>
      <c r="Q176">
        <f>I176</f>
        <v/>
      </c>
      <c r="R176">
        <f>J176</f>
        <v/>
      </c>
      <c r="S176">
        <f>SUM(K176:N176)</f>
        <v/>
      </c>
      <c r="T176">
        <f>SUM(P176:S176)</f>
        <v/>
      </c>
      <c r="U176" s="3">
        <f>IF(T176=0,"",P176/T176)</f>
        <v/>
      </c>
      <c r="V176" s="3">
        <f>IF(T176=0,"",Q176/T176)</f>
        <v/>
      </c>
      <c r="W176" s="3">
        <f>IF(T176=0,"",R176/T176)</f>
        <v/>
      </c>
      <c r="X176" s="3">
        <f>IF(T176=0,"",S176/T176)</f>
        <v/>
      </c>
      <c r="Y176" s="4">
        <f>IF(T176=0,"",U176*Pesos!$B$2+V176*Pesos!$B$3+W176*Pesos!$B$4+X176*Pesos!$B$5)</f>
        <v/>
      </c>
    </row>
    <row r="177">
      <c r="A177" s="2" t="n">
        <v>176</v>
      </c>
      <c r="B177" t="n">
        <v>8</v>
      </c>
      <c r="C177" t="n">
        <v>709</v>
      </c>
      <c r="D177" t="n">
        <v>706</v>
      </c>
      <c r="E177" t="n">
        <v>609</v>
      </c>
      <c r="F177" t="n">
        <v>463</v>
      </c>
      <c r="G177" t="n">
        <v>316</v>
      </c>
      <c r="H177" t="n">
        <v>237</v>
      </c>
      <c r="I177" t="n">
        <v>769</v>
      </c>
      <c r="J177" t="n">
        <v>1392</v>
      </c>
      <c r="K177" t="n">
        <v>1693</v>
      </c>
      <c r="L177" t="n">
        <v>861</v>
      </c>
      <c r="M177" t="n">
        <v>403</v>
      </c>
      <c r="N177" t="n">
        <v>142</v>
      </c>
      <c r="O177" s="6" t="n">
        <v>8300</v>
      </c>
      <c r="P177">
        <f>SUM(C177:H177)</f>
        <v/>
      </c>
      <c r="Q177">
        <f>I177</f>
        <v/>
      </c>
      <c r="R177">
        <f>J177</f>
        <v/>
      </c>
      <c r="S177">
        <f>SUM(K177:N177)</f>
        <v/>
      </c>
      <c r="T177">
        <f>SUM(P177:S177)</f>
        <v/>
      </c>
      <c r="U177" s="3">
        <f>IF(T177=0,"",P177/T177)</f>
        <v/>
      </c>
      <c r="V177" s="3">
        <f>IF(T177=0,"",Q177/T177)</f>
        <v/>
      </c>
      <c r="W177" s="3">
        <f>IF(T177=0,"",R177/T177)</f>
        <v/>
      </c>
      <c r="X177" s="3">
        <f>IF(T177=0,"",S177/T177)</f>
        <v/>
      </c>
      <c r="Y177" s="4">
        <f>IF(T177=0,"",U177*Pesos!$B$2+V177*Pesos!$B$3+W177*Pesos!$B$4+X177*Pesos!$B$5)</f>
        <v/>
      </c>
    </row>
    <row r="178">
      <c r="A178" s="2" t="n">
        <v>177</v>
      </c>
      <c r="B178" t="n">
        <v>7</v>
      </c>
      <c r="C178" t="n">
        <v>591</v>
      </c>
      <c r="D178" t="n">
        <v>610</v>
      </c>
      <c r="E178" t="n">
        <v>596</v>
      </c>
      <c r="F178" t="n">
        <v>500</v>
      </c>
      <c r="G178" t="n">
        <v>361</v>
      </c>
      <c r="H178" t="n">
        <v>230</v>
      </c>
      <c r="I178" t="n">
        <v>688</v>
      </c>
      <c r="J178" t="n">
        <v>1176</v>
      </c>
      <c r="K178" t="n">
        <v>1484</v>
      </c>
      <c r="L178" t="n">
        <v>775</v>
      </c>
      <c r="M178" t="n">
        <v>399</v>
      </c>
      <c r="N178" t="n">
        <v>222</v>
      </c>
      <c r="O178" s="6" t="n">
        <v>7632</v>
      </c>
      <c r="P178">
        <f>SUM(C178:H178)</f>
        <v/>
      </c>
      <c r="Q178">
        <f>I178</f>
        <v/>
      </c>
      <c r="R178">
        <f>J178</f>
        <v/>
      </c>
      <c r="S178">
        <f>SUM(K178:N178)</f>
        <v/>
      </c>
      <c r="T178">
        <f>SUM(P178:S178)</f>
        <v/>
      </c>
      <c r="U178" s="3">
        <f>IF(T178=0,"",P178/T178)</f>
        <v/>
      </c>
      <c r="V178" s="3">
        <f>IF(T178=0,"",Q178/T178)</f>
        <v/>
      </c>
      <c r="W178" s="3">
        <f>IF(T178=0,"",R178/T178)</f>
        <v/>
      </c>
      <c r="X178" s="3">
        <f>IF(T178=0,"",S178/T178)</f>
        <v/>
      </c>
      <c r="Y178" s="4">
        <f>IF(T178=0,"",U178*Pesos!$B$2+V178*Pesos!$B$3+W178*Pesos!$B$4+X178*Pesos!$B$5)</f>
        <v/>
      </c>
    </row>
    <row r="179">
      <c r="A179" s="2" t="n">
        <v>178</v>
      </c>
      <c r="B179" t="n">
        <v>8</v>
      </c>
      <c r="C179" t="n">
        <v>337</v>
      </c>
      <c r="D179" t="n">
        <v>334</v>
      </c>
      <c r="E179" t="n">
        <v>461</v>
      </c>
      <c r="F179" t="n">
        <v>427</v>
      </c>
      <c r="G179" t="n">
        <v>242</v>
      </c>
      <c r="H179" t="n">
        <v>201</v>
      </c>
      <c r="I179" t="n">
        <v>647</v>
      </c>
      <c r="J179" t="n">
        <v>1553</v>
      </c>
      <c r="K179" t="n">
        <v>1678</v>
      </c>
      <c r="L179" t="n">
        <v>1537</v>
      </c>
      <c r="M179" t="n">
        <v>375</v>
      </c>
      <c r="N179" t="n">
        <v>71</v>
      </c>
      <c r="O179" s="6" t="n">
        <v>7863</v>
      </c>
      <c r="P179">
        <f>SUM(C179:H179)</f>
        <v/>
      </c>
      <c r="Q179">
        <f>I179</f>
        <v/>
      </c>
      <c r="R179">
        <f>J179</f>
        <v/>
      </c>
      <c r="S179">
        <f>SUM(K179:N179)</f>
        <v/>
      </c>
      <c r="T179">
        <f>SUM(P179:S179)</f>
        <v/>
      </c>
      <c r="U179" s="3">
        <f>IF(T179=0,"",P179/T179)</f>
        <v/>
      </c>
      <c r="V179" s="3">
        <f>IF(T179=0,"",Q179/T179)</f>
        <v/>
      </c>
      <c r="W179" s="3">
        <f>IF(T179=0,"",R179/T179)</f>
        <v/>
      </c>
      <c r="X179" s="3">
        <f>IF(T179=0,"",S179/T179)</f>
        <v/>
      </c>
      <c r="Y179" s="4">
        <f>IF(T179=0,"",U179*Pesos!$B$2+V179*Pesos!$B$3+W179*Pesos!$B$4+X179*Pesos!$B$5)</f>
        <v/>
      </c>
    </row>
    <row r="180">
      <c r="A180" s="2" t="n">
        <v>179</v>
      </c>
      <c r="B180" t="n">
        <v>9</v>
      </c>
      <c r="C180" t="n">
        <v>328</v>
      </c>
      <c r="D180" t="n">
        <v>294</v>
      </c>
      <c r="E180" t="n">
        <v>355</v>
      </c>
      <c r="F180" t="n">
        <v>387</v>
      </c>
      <c r="G180" t="n">
        <v>290</v>
      </c>
      <c r="H180" t="n">
        <v>210</v>
      </c>
      <c r="I180" t="n">
        <v>787</v>
      </c>
      <c r="J180" t="n">
        <v>1613</v>
      </c>
      <c r="K180" t="n">
        <v>1874</v>
      </c>
      <c r="L180" t="n">
        <v>1818</v>
      </c>
      <c r="M180" t="n">
        <v>624</v>
      </c>
      <c r="N180" t="n">
        <v>3</v>
      </c>
      <c r="O180" s="6" t="n">
        <v>8583</v>
      </c>
      <c r="P180">
        <f>SUM(C180:H180)</f>
        <v/>
      </c>
      <c r="Q180">
        <f>I180</f>
        <v/>
      </c>
      <c r="R180">
        <f>J180</f>
        <v/>
      </c>
      <c r="S180">
        <f>SUM(K180:N180)</f>
        <v/>
      </c>
      <c r="T180">
        <f>SUM(P180:S180)</f>
        <v/>
      </c>
      <c r="U180" s="3">
        <f>IF(T180=0,"",P180/T180)</f>
        <v/>
      </c>
      <c r="V180" s="3">
        <f>IF(T180=0,"",Q180/T180)</f>
        <v/>
      </c>
      <c r="W180" s="3">
        <f>IF(T180=0,"",R180/T180)</f>
        <v/>
      </c>
      <c r="X180" s="3">
        <f>IF(T180=0,"",S180/T180)</f>
        <v/>
      </c>
      <c r="Y180" s="4">
        <f>IF(T180=0,"",U180*Pesos!$B$2+V180*Pesos!$B$3+W180*Pesos!$B$4+X180*Pesos!$B$5)</f>
        <v/>
      </c>
    </row>
    <row r="181">
      <c r="A181" s="2" t="n">
        <v>180</v>
      </c>
      <c r="B181" t="n">
        <v>7</v>
      </c>
      <c r="C181" t="n">
        <v>628</v>
      </c>
      <c r="D181" t="n">
        <v>591</v>
      </c>
      <c r="E181" t="n">
        <v>573</v>
      </c>
      <c r="F181" t="n">
        <v>465</v>
      </c>
      <c r="G181" t="n">
        <v>320</v>
      </c>
      <c r="H181" t="n">
        <v>270</v>
      </c>
      <c r="I181" t="n">
        <v>790</v>
      </c>
      <c r="J181" t="n">
        <v>1632</v>
      </c>
      <c r="K181" t="n">
        <v>1772</v>
      </c>
      <c r="L181" t="n">
        <v>1311</v>
      </c>
      <c r="M181" t="n">
        <v>502</v>
      </c>
      <c r="N181" t="n">
        <v>217</v>
      </c>
      <c r="O181" s="6" t="n">
        <v>9071</v>
      </c>
      <c r="P181">
        <f>SUM(C181:H181)</f>
        <v/>
      </c>
      <c r="Q181">
        <f>I181</f>
        <v/>
      </c>
      <c r="R181">
        <f>J181</f>
        <v/>
      </c>
      <c r="S181">
        <f>SUM(K181:N181)</f>
        <v/>
      </c>
      <c r="T181">
        <f>SUM(P181:S181)</f>
        <v/>
      </c>
      <c r="U181" s="3">
        <f>IF(T181=0,"",P181/T181)</f>
        <v/>
      </c>
      <c r="V181" s="3">
        <f>IF(T181=0,"",Q181/T181)</f>
        <v/>
      </c>
      <c r="W181" s="3">
        <f>IF(T181=0,"",R181/T181)</f>
        <v/>
      </c>
      <c r="X181" s="3">
        <f>IF(T181=0,"",S181/T181)</f>
        <v/>
      </c>
      <c r="Y181" s="4">
        <f>IF(T181=0,"",U181*Pesos!$B$2+V181*Pesos!$B$3+W181*Pesos!$B$4+X181*Pesos!$B$5)</f>
        <v/>
      </c>
    </row>
    <row r="182">
      <c r="A182" s="2" t="n">
        <v>181</v>
      </c>
      <c r="B182" t="n">
        <v>7</v>
      </c>
      <c r="C182" t="n">
        <v>669</v>
      </c>
      <c r="D182" t="n">
        <v>655</v>
      </c>
      <c r="E182" t="n">
        <v>666</v>
      </c>
      <c r="F182" t="n">
        <v>507</v>
      </c>
      <c r="G182" t="n">
        <v>393</v>
      </c>
      <c r="H182" t="n">
        <v>291</v>
      </c>
      <c r="I182" t="n">
        <v>823</v>
      </c>
      <c r="J182" t="n">
        <v>1681</v>
      </c>
      <c r="K182" t="n">
        <v>1726</v>
      </c>
      <c r="L182" t="n">
        <v>1143</v>
      </c>
      <c r="M182" t="n">
        <v>989</v>
      </c>
      <c r="N182" t="n">
        <v>71</v>
      </c>
      <c r="O182" s="6" t="n">
        <v>9614</v>
      </c>
      <c r="P182">
        <f>SUM(C182:H182)</f>
        <v/>
      </c>
      <c r="Q182">
        <f>I182</f>
        <v/>
      </c>
      <c r="R182">
        <f>J182</f>
        <v/>
      </c>
      <c r="S182">
        <f>SUM(K182:N182)</f>
        <v/>
      </c>
      <c r="T182">
        <f>SUM(P182:S182)</f>
        <v/>
      </c>
      <c r="U182" s="3">
        <f>IF(T182=0,"",P182/T182)</f>
        <v/>
      </c>
      <c r="V182" s="3">
        <f>IF(T182=0,"",Q182/T182)</f>
        <v/>
      </c>
      <c r="W182" s="3">
        <f>IF(T182=0,"",R182/T182)</f>
        <v/>
      </c>
      <c r="X182" s="3">
        <f>IF(T182=0,"",S182/T182)</f>
        <v/>
      </c>
      <c r="Y182" s="4">
        <f>IF(T182=0,"",U182*Pesos!$B$2+V182*Pesos!$B$3+W182*Pesos!$B$4+X182*Pesos!$B$5)</f>
        <v/>
      </c>
    </row>
    <row r="183">
      <c r="A183" s="2" t="n">
        <v>182</v>
      </c>
      <c r="B183" t="n">
        <v>9</v>
      </c>
      <c r="C183" t="n">
        <v>459</v>
      </c>
      <c r="D183" t="n">
        <v>462</v>
      </c>
      <c r="E183" t="n">
        <v>473</v>
      </c>
      <c r="F183" t="n">
        <v>450</v>
      </c>
      <c r="G183" t="n">
        <v>375</v>
      </c>
      <c r="H183" t="n">
        <v>285</v>
      </c>
      <c r="I183" t="n">
        <v>856</v>
      </c>
      <c r="J183" t="n">
        <v>2061</v>
      </c>
      <c r="K183" t="n">
        <v>2557</v>
      </c>
      <c r="L183" t="n">
        <v>829</v>
      </c>
      <c r="M183" t="n">
        <v>664</v>
      </c>
      <c r="N183" t="n">
        <v>0</v>
      </c>
      <c r="O183" s="6" t="n">
        <v>9471</v>
      </c>
      <c r="P183">
        <f>SUM(C183:H183)</f>
        <v/>
      </c>
      <c r="Q183">
        <f>I183</f>
        <v/>
      </c>
      <c r="R183">
        <f>J183</f>
        <v/>
      </c>
      <c r="S183">
        <f>SUM(K183:N183)</f>
        <v/>
      </c>
      <c r="T183">
        <f>SUM(P183:S183)</f>
        <v/>
      </c>
      <c r="U183" s="3">
        <f>IF(T183=0,"",P183/T183)</f>
        <v/>
      </c>
      <c r="V183" s="3">
        <f>IF(T183=0,"",Q183/T183)</f>
        <v/>
      </c>
      <c r="W183" s="3">
        <f>IF(T183=0,"",R183/T183)</f>
        <v/>
      </c>
      <c r="X183" s="3">
        <f>IF(T183=0,"",S183/T183)</f>
        <v/>
      </c>
      <c r="Y183" s="4">
        <f>IF(T183=0,"",U183*Pesos!$B$2+V183*Pesos!$B$3+W183*Pesos!$B$4+X183*Pesos!$B$5)</f>
        <v/>
      </c>
    </row>
    <row r="184">
      <c r="A184" s="2" t="n">
        <v>183</v>
      </c>
      <c r="B184" t="n">
        <v>8</v>
      </c>
      <c r="C184" t="n">
        <v>739</v>
      </c>
      <c r="D184" t="n">
        <v>850</v>
      </c>
      <c r="E184" t="n">
        <v>955</v>
      </c>
      <c r="F184" t="n">
        <v>1112</v>
      </c>
      <c r="G184" t="n">
        <v>893</v>
      </c>
      <c r="H184" t="n">
        <v>483</v>
      </c>
      <c r="I184" t="n">
        <v>1054</v>
      </c>
      <c r="J184" t="n">
        <v>1524</v>
      </c>
      <c r="K184" t="n">
        <v>1108</v>
      </c>
      <c r="L184" t="n">
        <v>945</v>
      </c>
      <c r="M184" t="n">
        <v>459</v>
      </c>
      <c r="N184" t="n">
        <v>84</v>
      </c>
      <c r="O184" s="6" t="n">
        <v>10206</v>
      </c>
      <c r="P184">
        <f>SUM(C184:H184)</f>
        <v/>
      </c>
      <c r="Q184">
        <f>I184</f>
        <v/>
      </c>
      <c r="R184">
        <f>J184</f>
        <v/>
      </c>
      <c r="S184">
        <f>SUM(K184:N184)</f>
        <v/>
      </c>
      <c r="T184">
        <f>SUM(P184:S184)</f>
        <v/>
      </c>
      <c r="U184" s="3">
        <f>IF(T184=0,"",P184/T184)</f>
        <v/>
      </c>
      <c r="V184" s="3">
        <f>IF(T184=0,"",Q184/T184)</f>
        <v/>
      </c>
      <c r="W184" s="3">
        <f>IF(T184=0,"",R184/T184)</f>
        <v/>
      </c>
      <c r="X184" s="3">
        <f>IF(T184=0,"",S184/T184)</f>
        <v/>
      </c>
      <c r="Y184" s="4">
        <f>IF(T184=0,"",U184*Pesos!$B$2+V184*Pesos!$B$3+W184*Pesos!$B$4+X184*Pesos!$B$5)</f>
        <v/>
      </c>
    </row>
    <row r="185">
      <c r="A185" s="2" t="n">
        <v>184</v>
      </c>
      <c r="B185" t="n">
        <v>7</v>
      </c>
      <c r="C185" t="n">
        <v>519</v>
      </c>
      <c r="D185" t="n">
        <v>307</v>
      </c>
      <c r="E185" t="n">
        <v>345</v>
      </c>
      <c r="F185" t="n">
        <v>257</v>
      </c>
      <c r="G185" t="n">
        <v>320</v>
      </c>
      <c r="H185" t="n">
        <v>136</v>
      </c>
      <c r="I185" t="n">
        <v>763</v>
      </c>
      <c r="J185" t="n">
        <v>1170</v>
      </c>
      <c r="K185" t="n">
        <v>943</v>
      </c>
      <c r="L185" t="n">
        <v>1783</v>
      </c>
      <c r="M185" t="n">
        <v>375</v>
      </c>
      <c r="N185" t="n">
        <v>7</v>
      </c>
      <c r="O185" s="6" t="n">
        <v>6925</v>
      </c>
      <c r="P185">
        <f>SUM(C185:H185)</f>
        <v/>
      </c>
      <c r="Q185">
        <f>I185</f>
        <v/>
      </c>
      <c r="R185">
        <f>J185</f>
        <v/>
      </c>
      <c r="S185">
        <f>SUM(K185:N185)</f>
        <v/>
      </c>
      <c r="T185">
        <f>SUM(P185:S185)</f>
        <v/>
      </c>
      <c r="U185" s="3">
        <f>IF(T185=0,"",P185/T185)</f>
        <v/>
      </c>
      <c r="V185" s="3">
        <f>IF(T185=0,"",Q185/T185)</f>
        <v/>
      </c>
      <c r="W185" s="3">
        <f>IF(T185=0,"",R185/T185)</f>
        <v/>
      </c>
      <c r="X185" s="3">
        <f>IF(T185=0,"",S185/T185)</f>
        <v/>
      </c>
      <c r="Y185" s="4">
        <f>IF(T185=0,"",U185*Pesos!$B$2+V185*Pesos!$B$3+W185*Pesos!$B$4+X185*Pesos!$B$5)</f>
        <v/>
      </c>
    </row>
    <row r="186">
      <c r="A186" s="2" t="n">
        <v>185</v>
      </c>
      <c r="B186" t="n">
        <v>10</v>
      </c>
      <c r="C186" t="n">
        <v>856</v>
      </c>
      <c r="D186" t="n">
        <v>791</v>
      </c>
      <c r="E186" t="n">
        <v>881</v>
      </c>
      <c r="F186" t="n">
        <v>748</v>
      </c>
      <c r="G186" t="n">
        <v>551</v>
      </c>
      <c r="H186" t="n">
        <v>419</v>
      </c>
      <c r="I186" t="n">
        <v>1540</v>
      </c>
      <c r="J186" t="n">
        <v>2339</v>
      </c>
      <c r="K186" t="n">
        <v>2142</v>
      </c>
      <c r="L186" t="n">
        <v>1202</v>
      </c>
      <c r="M186" t="n">
        <v>675</v>
      </c>
      <c r="N186" t="n">
        <v>169</v>
      </c>
      <c r="O186" s="6" t="n">
        <v>12313</v>
      </c>
      <c r="P186">
        <f>SUM(C186:H186)</f>
        <v/>
      </c>
      <c r="Q186">
        <f>I186</f>
        <v/>
      </c>
      <c r="R186">
        <f>J186</f>
        <v/>
      </c>
      <c r="S186">
        <f>SUM(K186:N186)</f>
        <v/>
      </c>
      <c r="T186">
        <f>SUM(P186:S186)</f>
        <v/>
      </c>
      <c r="U186" s="3">
        <f>IF(T186=0,"",P186/T186)</f>
        <v/>
      </c>
      <c r="V186" s="3">
        <f>IF(T186=0,"",Q186/T186)</f>
        <v/>
      </c>
      <c r="W186" s="3">
        <f>IF(T186=0,"",R186/T186)</f>
        <v/>
      </c>
      <c r="X186" s="3">
        <f>IF(T186=0,"",S186/T186)</f>
        <v/>
      </c>
      <c r="Y186" s="4">
        <f>IF(T186=0,"",U186*Pesos!$B$2+V186*Pesos!$B$3+W186*Pesos!$B$4+X186*Pesos!$B$5)</f>
        <v/>
      </c>
    </row>
    <row r="187">
      <c r="A187" s="2" t="n">
        <v>186</v>
      </c>
      <c r="B187" t="n">
        <v>8</v>
      </c>
      <c r="C187" t="n">
        <v>692</v>
      </c>
      <c r="D187" t="n">
        <v>694</v>
      </c>
      <c r="E187" t="n">
        <v>578</v>
      </c>
      <c r="F187" t="n">
        <v>474</v>
      </c>
      <c r="G187" t="n">
        <v>351</v>
      </c>
      <c r="H187" t="n">
        <v>351</v>
      </c>
      <c r="I187" t="n">
        <v>1075</v>
      </c>
      <c r="J187" t="n">
        <v>1463</v>
      </c>
      <c r="K187" t="n">
        <v>1263</v>
      </c>
      <c r="L187" t="n">
        <v>1072</v>
      </c>
      <c r="M187" t="n">
        <v>508</v>
      </c>
      <c r="N187" t="n">
        <v>123</v>
      </c>
      <c r="O187" s="6" t="n">
        <v>8644</v>
      </c>
      <c r="P187">
        <f>SUM(C187:H187)</f>
        <v/>
      </c>
      <c r="Q187">
        <f>I187</f>
        <v/>
      </c>
      <c r="R187">
        <f>J187</f>
        <v/>
      </c>
      <c r="S187">
        <f>SUM(K187:N187)</f>
        <v/>
      </c>
      <c r="T187">
        <f>SUM(P187:S187)</f>
        <v/>
      </c>
      <c r="U187" s="3">
        <f>IF(T187=0,"",P187/T187)</f>
        <v/>
      </c>
      <c r="V187" s="3">
        <f>IF(T187=0,"",Q187/T187)</f>
        <v/>
      </c>
      <c r="W187" s="3">
        <f>IF(T187=0,"",R187/T187)</f>
        <v/>
      </c>
      <c r="X187" s="3">
        <f>IF(T187=0,"",S187/T187)</f>
        <v/>
      </c>
      <c r="Y187" s="4">
        <f>IF(T187=0,"",U187*Pesos!$B$2+V187*Pesos!$B$3+W187*Pesos!$B$4+X187*Pesos!$B$5)</f>
        <v/>
      </c>
    </row>
    <row r="188">
      <c r="A188" s="2" t="n">
        <v>187</v>
      </c>
      <c r="B188" t="n">
        <v>9</v>
      </c>
      <c r="C188" t="n">
        <v>1006</v>
      </c>
      <c r="D188" t="n">
        <v>872</v>
      </c>
      <c r="E188" t="n">
        <v>923</v>
      </c>
      <c r="F188" t="n">
        <v>626</v>
      </c>
      <c r="G188" t="n">
        <v>524</v>
      </c>
      <c r="H188" t="n">
        <v>308</v>
      </c>
      <c r="I188" t="n">
        <v>1110</v>
      </c>
      <c r="J188" t="n">
        <v>1613</v>
      </c>
      <c r="K188" t="n">
        <v>1579</v>
      </c>
      <c r="L188" t="n">
        <v>1441</v>
      </c>
      <c r="M188" t="n">
        <v>842</v>
      </c>
      <c r="N188" t="n">
        <v>208</v>
      </c>
      <c r="O188" s="6" t="n">
        <v>11052</v>
      </c>
      <c r="P188">
        <f>SUM(C188:H188)</f>
        <v/>
      </c>
      <c r="Q188">
        <f>I188</f>
        <v/>
      </c>
      <c r="R188">
        <f>J188</f>
        <v/>
      </c>
      <c r="S188">
        <f>SUM(K188:N188)</f>
        <v/>
      </c>
      <c r="T188">
        <f>SUM(P188:S188)</f>
        <v/>
      </c>
      <c r="U188" s="3">
        <f>IF(T188=0,"",P188/T188)</f>
        <v/>
      </c>
      <c r="V188" s="3">
        <f>IF(T188=0,"",Q188/T188)</f>
        <v/>
      </c>
      <c r="W188" s="3">
        <f>IF(T188=0,"",R188/T188)</f>
        <v/>
      </c>
      <c r="X188" s="3">
        <f>IF(T188=0,"",S188/T188)</f>
        <v/>
      </c>
      <c r="Y188" s="4">
        <f>IF(T188=0,"",U188*Pesos!$B$2+V188*Pesos!$B$3+W188*Pesos!$B$4+X188*Pesos!$B$5)</f>
        <v/>
      </c>
    </row>
    <row r="189">
      <c r="A189" s="2" t="n">
        <v>188</v>
      </c>
      <c r="B189" t="n">
        <v>8</v>
      </c>
      <c r="C189" t="n">
        <v>771</v>
      </c>
      <c r="D189" t="n">
        <v>644</v>
      </c>
      <c r="E189" t="n">
        <v>668</v>
      </c>
      <c r="F189" t="n">
        <v>484</v>
      </c>
      <c r="G189" t="n">
        <v>345</v>
      </c>
      <c r="H189" t="n">
        <v>257</v>
      </c>
      <c r="I189" t="n">
        <v>697</v>
      </c>
      <c r="J189" t="n">
        <v>1276</v>
      </c>
      <c r="K189" t="n">
        <v>1805</v>
      </c>
      <c r="L189" t="n">
        <v>1175</v>
      </c>
      <c r="M189" t="n">
        <v>743</v>
      </c>
      <c r="N189" t="n">
        <v>125</v>
      </c>
      <c r="O189" s="6" t="n">
        <v>8990</v>
      </c>
      <c r="P189">
        <f>SUM(C189:H189)</f>
        <v/>
      </c>
      <c r="Q189">
        <f>I189</f>
        <v/>
      </c>
      <c r="R189">
        <f>J189</f>
        <v/>
      </c>
      <c r="S189">
        <f>SUM(K189:N189)</f>
        <v/>
      </c>
      <c r="T189">
        <f>SUM(P189:S189)</f>
        <v/>
      </c>
      <c r="U189" s="3">
        <f>IF(T189=0,"",P189/T189)</f>
        <v/>
      </c>
      <c r="V189" s="3">
        <f>IF(T189=0,"",Q189/T189)</f>
        <v/>
      </c>
      <c r="W189" s="3">
        <f>IF(T189=0,"",R189/T189)</f>
        <v/>
      </c>
      <c r="X189" s="3">
        <f>IF(T189=0,"",S189/T189)</f>
        <v/>
      </c>
      <c r="Y189" s="4">
        <f>IF(T189=0,"",U189*Pesos!$B$2+V189*Pesos!$B$3+W189*Pesos!$B$4+X189*Pesos!$B$5)</f>
        <v/>
      </c>
    </row>
    <row r="190">
      <c r="A190" s="2" t="n">
        <v>189</v>
      </c>
      <c r="B190" t="n">
        <v>7</v>
      </c>
      <c r="C190" t="n">
        <v>438</v>
      </c>
      <c r="D190" t="n">
        <v>444</v>
      </c>
      <c r="E190" t="n">
        <v>454</v>
      </c>
      <c r="F190" t="n">
        <v>375</v>
      </c>
      <c r="G190" t="n">
        <v>305</v>
      </c>
      <c r="H190" t="n">
        <v>217</v>
      </c>
      <c r="I190" t="n">
        <v>764</v>
      </c>
      <c r="J190" t="n">
        <v>1169</v>
      </c>
      <c r="K190" t="n">
        <v>1351</v>
      </c>
      <c r="L190" t="n">
        <v>829</v>
      </c>
      <c r="M190" t="n">
        <v>828</v>
      </c>
      <c r="N190" t="n">
        <v>335</v>
      </c>
      <c r="O190" s="6" t="n">
        <v>7509</v>
      </c>
      <c r="P190">
        <f>SUM(C190:H190)</f>
        <v/>
      </c>
      <c r="Q190">
        <f>I190</f>
        <v/>
      </c>
      <c r="R190">
        <f>J190</f>
        <v/>
      </c>
      <c r="S190">
        <f>SUM(K190:N190)</f>
        <v/>
      </c>
      <c r="T190">
        <f>SUM(P190:S190)</f>
        <v/>
      </c>
      <c r="U190" s="3">
        <f>IF(T190=0,"",P190/T190)</f>
        <v/>
      </c>
      <c r="V190" s="3">
        <f>IF(T190=0,"",Q190/T190)</f>
        <v/>
      </c>
      <c r="W190" s="3">
        <f>IF(T190=0,"",R190/T190)</f>
        <v/>
      </c>
      <c r="X190" s="3">
        <f>IF(T190=0,"",S190/T190)</f>
        <v/>
      </c>
      <c r="Y190" s="4">
        <f>IF(T190=0,"",U190*Pesos!$B$2+V190*Pesos!$B$3+W190*Pesos!$B$4+X190*Pesos!$B$5)</f>
        <v/>
      </c>
    </row>
    <row r="191">
      <c r="A191" s="2" t="n">
        <v>190</v>
      </c>
      <c r="B191" t="n">
        <v>7</v>
      </c>
      <c r="C191" t="n">
        <v>567</v>
      </c>
      <c r="D191" t="n">
        <v>444</v>
      </c>
      <c r="E191" t="n">
        <v>501</v>
      </c>
      <c r="F191" t="n">
        <v>452</v>
      </c>
      <c r="G191" t="n">
        <v>314</v>
      </c>
      <c r="H191" t="n">
        <v>206</v>
      </c>
      <c r="I191" t="n">
        <v>840</v>
      </c>
      <c r="J191" t="n">
        <v>1516</v>
      </c>
      <c r="K191" t="n">
        <v>1644</v>
      </c>
      <c r="L191" t="n">
        <v>1176</v>
      </c>
      <c r="M191" t="n">
        <v>783</v>
      </c>
      <c r="N191" t="n">
        <v>135</v>
      </c>
      <c r="O191" s="6" t="n">
        <v>8578</v>
      </c>
      <c r="P191">
        <f>SUM(C191:H191)</f>
        <v/>
      </c>
      <c r="Q191">
        <f>I191</f>
        <v/>
      </c>
      <c r="R191">
        <f>J191</f>
        <v/>
      </c>
      <c r="S191">
        <f>SUM(K191:N191)</f>
        <v/>
      </c>
      <c r="T191">
        <f>SUM(P191:S191)</f>
        <v/>
      </c>
      <c r="U191" s="3">
        <f>IF(T191=0,"",P191/T191)</f>
        <v/>
      </c>
      <c r="V191" s="3">
        <f>IF(T191=0,"",Q191/T191)</f>
        <v/>
      </c>
      <c r="W191" s="3">
        <f>IF(T191=0,"",R191/T191)</f>
        <v/>
      </c>
      <c r="X191" s="3">
        <f>IF(T191=0,"",S191/T191)</f>
        <v/>
      </c>
      <c r="Y191" s="4">
        <f>IF(T191=0,"",U191*Pesos!$B$2+V191*Pesos!$B$3+W191*Pesos!$B$4+X191*Pesos!$B$5)</f>
        <v/>
      </c>
    </row>
    <row r="192">
      <c r="A192" s="2" t="n">
        <v>191</v>
      </c>
      <c r="B192" t="n">
        <v>9</v>
      </c>
      <c r="C192" t="n">
        <v>425</v>
      </c>
      <c r="D192" t="n">
        <v>483</v>
      </c>
      <c r="E192" t="n">
        <v>477</v>
      </c>
      <c r="F192" t="n">
        <v>385</v>
      </c>
      <c r="G192" t="n">
        <v>290</v>
      </c>
      <c r="H192" t="n">
        <v>234</v>
      </c>
      <c r="I192" t="n">
        <v>822</v>
      </c>
      <c r="J192" t="n">
        <v>1515</v>
      </c>
      <c r="K192" t="n">
        <v>1527</v>
      </c>
      <c r="L192" t="n">
        <v>1118</v>
      </c>
      <c r="M192" t="n">
        <v>1091</v>
      </c>
      <c r="N192" t="n">
        <v>83</v>
      </c>
      <c r="O192" s="6" t="n">
        <v>8450</v>
      </c>
      <c r="P192">
        <f>SUM(C192:H192)</f>
        <v/>
      </c>
      <c r="Q192">
        <f>I192</f>
        <v/>
      </c>
      <c r="R192">
        <f>J192</f>
        <v/>
      </c>
      <c r="S192">
        <f>SUM(K192:N192)</f>
        <v/>
      </c>
      <c r="T192">
        <f>SUM(P192:S192)</f>
        <v/>
      </c>
      <c r="U192" s="3">
        <f>IF(T192=0,"",P192/T192)</f>
        <v/>
      </c>
      <c r="V192" s="3">
        <f>IF(T192=0,"",Q192/T192)</f>
        <v/>
      </c>
      <c r="W192" s="3">
        <f>IF(T192=0,"",R192/T192)</f>
        <v/>
      </c>
      <c r="X192" s="3">
        <f>IF(T192=0,"",S192/T192)</f>
        <v/>
      </c>
      <c r="Y192" s="4">
        <f>IF(T192=0,"",U192*Pesos!$B$2+V192*Pesos!$B$3+W192*Pesos!$B$4+X192*Pesos!$B$5)</f>
        <v/>
      </c>
    </row>
    <row r="193">
      <c r="A193" s="2" t="n">
        <v>192</v>
      </c>
      <c r="B193" t="n">
        <v>8</v>
      </c>
      <c r="C193" t="n">
        <v>463</v>
      </c>
      <c r="D193" t="n">
        <v>472</v>
      </c>
      <c r="E193" t="n">
        <v>522</v>
      </c>
      <c r="F193" t="n">
        <v>380</v>
      </c>
      <c r="G193" t="n">
        <v>361</v>
      </c>
      <c r="H193" t="n">
        <v>288</v>
      </c>
      <c r="I193" t="n">
        <v>871</v>
      </c>
      <c r="J193" t="n">
        <v>1394</v>
      </c>
      <c r="K193" t="n">
        <v>1578</v>
      </c>
      <c r="L193" t="n">
        <v>935</v>
      </c>
      <c r="M193" t="n">
        <v>1610</v>
      </c>
      <c r="N193" t="n">
        <v>163</v>
      </c>
      <c r="O193" s="6" t="n">
        <v>9037</v>
      </c>
      <c r="P193">
        <f>SUM(C193:H193)</f>
        <v/>
      </c>
      <c r="Q193">
        <f>I193</f>
        <v/>
      </c>
      <c r="R193">
        <f>J193</f>
        <v/>
      </c>
      <c r="S193">
        <f>SUM(K193:N193)</f>
        <v/>
      </c>
      <c r="T193">
        <f>SUM(P193:S193)</f>
        <v/>
      </c>
      <c r="U193" s="3">
        <f>IF(T193=0,"",P193/T193)</f>
        <v/>
      </c>
      <c r="V193" s="3">
        <f>IF(T193=0,"",Q193/T193)</f>
        <v/>
      </c>
      <c r="W193" s="3">
        <f>IF(T193=0,"",R193/T193)</f>
        <v/>
      </c>
      <c r="X193" s="3">
        <f>IF(T193=0,"",S193/T193)</f>
        <v/>
      </c>
      <c r="Y193" s="4">
        <f>IF(T193=0,"",U193*Pesos!$B$2+V193*Pesos!$B$3+W193*Pesos!$B$4+X193*Pesos!$B$5)</f>
        <v/>
      </c>
    </row>
    <row r="194">
      <c r="A194" s="2" t="n">
        <v>193</v>
      </c>
      <c r="B194" t="n">
        <v>9</v>
      </c>
      <c r="C194" t="n">
        <v>695</v>
      </c>
      <c r="D194" t="n">
        <v>595</v>
      </c>
      <c r="E194" t="n">
        <v>573</v>
      </c>
      <c r="F194" t="n">
        <v>498</v>
      </c>
      <c r="G194" t="n">
        <v>392</v>
      </c>
      <c r="H194" t="n">
        <v>287</v>
      </c>
      <c r="I194" t="n">
        <v>1093</v>
      </c>
      <c r="J194" t="n">
        <v>1548</v>
      </c>
      <c r="K194" t="n">
        <v>1394</v>
      </c>
      <c r="L194" t="n">
        <v>965</v>
      </c>
      <c r="M194" t="n">
        <v>1034</v>
      </c>
      <c r="N194" t="n">
        <v>406</v>
      </c>
      <c r="O194" s="6" t="n">
        <v>9480</v>
      </c>
      <c r="P194">
        <f>SUM(C194:H194)</f>
        <v/>
      </c>
      <c r="Q194">
        <f>I194</f>
        <v/>
      </c>
      <c r="R194">
        <f>J194</f>
        <v/>
      </c>
      <c r="S194">
        <f>SUM(K194:N194)</f>
        <v/>
      </c>
      <c r="T194">
        <f>SUM(P194:S194)</f>
        <v/>
      </c>
      <c r="U194" s="3">
        <f>IF(T194=0,"",P194/T194)</f>
        <v/>
      </c>
      <c r="V194" s="3">
        <f>IF(T194=0,"",Q194/T194)</f>
        <v/>
      </c>
      <c r="W194" s="3">
        <f>IF(T194=0,"",R194/T194)</f>
        <v/>
      </c>
      <c r="X194" s="3">
        <f>IF(T194=0,"",S194/T194)</f>
        <v/>
      </c>
      <c r="Y194" s="4">
        <f>IF(T194=0,"",U194*Pesos!$B$2+V194*Pesos!$B$3+W194*Pesos!$B$4+X194*Pesos!$B$5)</f>
        <v/>
      </c>
    </row>
    <row r="195">
      <c r="A195" s="2" t="n">
        <v>194</v>
      </c>
      <c r="B195" t="n">
        <v>7</v>
      </c>
      <c r="C195" t="n">
        <v>421</v>
      </c>
      <c r="D195" t="n">
        <v>378</v>
      </c>
      <c r="E195" t="n">
        <v>387</v>
      </c>
      <c r="F195" t="n">
        <v>396</v>
      </c>
      <c r="G195" t="n">
        <v>303</v>
      </c>
      <c r="H195" t="n">
        <v>275</v>
      </c>
      <c r="I195" t="n">
        <v>796</v>
      </c>
      <c r="J195" t="n">
        <v>1513</v>
      </c>
      <c r="K195" t="n">
        <v>1238</v>
      </c>
      <c r="L195" t="n">
        <v>1105</v>
      </c>
      <c r="M195" t="n">
        <v>526</v>
      </c>
      <c r="N195" t="n">
        <v>135</v>
      </c>
      <c r="O195" s="6" t="n">
        <v>7473</v>
      </c>
      <c r="P195">
        <f>SUM(C195:H195)</f>
        <v/>
      </c>
      <c r="Q195">
        <f>I195</f>
        <v/>
      </c>
      <c r="R195">
        <f>J195</f>
        <v/>
      </c>
      <c r="S195">
        <f>SUM(K195:N195)</f>
        <v/>
      </c>
      <c r="T195">
        <f>SUM(P195:S195)</f>
        <v/>
      </c>
      <c r="U195" s="3">
        <f>IF(T195=0,"",P195/T195)</f>
        <v/>
      </c>
      <c r="V195" s="3">
        <f>IF(T195=0,"",Q195/T195)</f>
        <v/>
      </c>
      <c r="W195" s="3">
        <f>IF(T195=0,"",R195/T195)</f>
        <v/>
      </c>
      <c r="X195" s="3">
        <f>IF(T195=0,"",S195/T195)</f>
        <v/>
      </c>
      <c r="Y195" s="4">
        <f>IF(T195=0,"",U195*Pesos!$B$2+V195*Pesos!$B$3+W195*Pesos!$B$4+X195*Pesos!$B$5)</f>
        <v/>
      </c>
    </row>
    <row r="196">
      <c r="A196" s="2" t="n">
        <v>195</v>
      </c>
      <c r="B196" t="n">
        <v>9</v>
      </c>
      <c r="C196" t="n">
        <v>506</v>
      </c>
      <c r="D196" t="n">
        <v>543</v>
      </c>
      <c r="E196" t="n">
        <v>594</v>
      </c>
      <c r="F196" t="n">
        <v>405</v>
      </c>
      <c r="G196" t="n">
        <v>286</v>
      </c>
      <c r="H196" t="n">
        <v>241</v>
      </c>
      <c r="I196" t="n">
        <v>743</v>
      </c>
      <c r="J196" t="n">
        <v>1255</v>
      </c>
      <c r="K196" t="n">
        <v>1183</v>
      </c>
      <c r="L196" t="n">
        <v>751</v>
      </c>
      <c r="M196" t="n">
        <v>754</v>
      </c>
      <c r="N196" t="n">
        <v>362</v>
      </c>
      <c r="O196" s="6" t="n">
        <v>7623</v>
      </c>
      <c r="P196">
        <f>SUM(C196:H196)</f>
        <v/>
      </c>
      <c r="Q196">
        <f>I196</f>
        <v/>
      </c>
      <c r="R196">
        <f>J196</f>
        <v/>
      </c>
      <c r="S196">
        <f>SUM(K196:N196)</f>
        <v/>
      </c>
      <c r="T196">
        <f>SUM(P196:S196)</f>
        <v/>
      </c>
      <c r="U196" s="3">
        <f>IF(T196=0,"",P196/T196)</f>
        <v/>
      </c>
      <c r="V196" s="3">
        <f>IF(T196=0,"",Q196/T196)</f>
        <v/>
      </c>
      <c r="W196" s="3">
        <f>IF(T196=0,"",R196/T196)</f>
        <v/>
      </c>
      <c r="X196" s="3">
        <f>IF(T196=0,"",S196/T196)</f>
        <v/>
      </c>
      <c r="Y196" s="4">
        <f>IF(T196=0,"",U196*Pesos!$B$2+V196*Pesos!$B$3+W196*Pesos!$B$4+X196*Pesos!$B$5)</f>
        <v/>
      </c>
    </row>
    <row r="197">
      <c r="A197" s="2" t="n">
        <v>196</v>
      </c>
      <c r="B197" t="n">
        <v>8</v>
      </c>
      <c r="C197" t="n">
        <v>551</v>
      </c>
      <c r="D197" t="n">
        <v>500</v>
      </c>
      <c r="E197" t="n">
        <v>490</v>
      </c>
      <c r="F197" t="n">
        <v>384</v>
      </c>
      <c r="G197" t="n">
        <v>297</v>
      </c>
      <c r="H197" t="n">
        <v>292</v>
      </c>
      <c r="I197" t="n">
        <v>862</v>
      </c>
      <c r="J197" t="n">
        <v>1407</v>
      </c>
      <c r="K197" t="n">
        <v>1342</v>
      </c>
      <c r="L197" t="n">
        <v>682</v>
      </c>
      <c r="M197" t="n">
        <v>747</v>
      </c>
      <c r="N197" t="n">
        <v>344</v>
      </c>
      <c r="O197" s="6" t="n">
        <v>7898</v>
      </c>
      <c r="P197">
        <f>SUM(C197:H197)</f>
        <v/>
      </c>
      <c r="Q197">
        <f>I197</f>
        <v/>
      </c>
      <c r="R197">
        <f>J197</f>
        <v/>
      </c>
      <c r="S197">
        <f>SUM(K197:N197)</f>
        <v/>
      </c>
      <c r="T197">
        <f>SUM(P197:S197)</f>
        <v/>
      </c>
      <c r="U197" s="3">
        <f>IF(T197=0,"",P197/T197)</f>
        <v/>
      </c>
      <c r="V197" s="3">
        <f>IF(T197=0,"",Q197/T197)</f>
        <v/>
      </c>
      <c r="W197" s="3">
        <f>IF(T197=0,"",R197/T197)</f>
        <v/>
      </c>
      <c r="X197" s="3">
        <f>IF(T197=0,"",S197/T197)</f>
        <v/>
      </c>
      <c r="Y197" s="4">
        <f>IF(T197=0,"",U197*Pesos!$B$2+V197*Pesos!$B$3+W197*Pesos!$B$4+X197*Pesos!$B$5)</f>
        <v/>
      </c>
    </row>
    <row r="198">
      <c r="A198" s="2" t="n">
        <v>197</v>
      </c>
      <c r="B198" t="n">
        <v>8</v>
      </c>
      <c r="C198" t="n">
        <v>661</v>
      </c>
      <c r="D198" t="n">
        <v>574</v>
      </c>
      <c r="E198" t="n">
        <v>516</v>
      </c>
      <c r="F198" t="n">
        <v>558</v>
      </c>
      <c r="G198" t="n">
        <v>358</v>
      </c>
      <c r="H198" t="n">
        <v>362</v>
      </c>
      <c r="I198" t="n">
        <v>880</v>
      </c>
      <c r="J198" t="n">
        <v>1477</v>
      </c>
      <c r="K198" t="n">
        <v>1385</v>
      </c>
      <c r="L198" t="n">
        <v>984</v>
      </c>
      <c r="M198" t="n">
        <v>849</v>
      </c>
      <c r="N198" t="n">
        <v>459</v>
      </c>
      <c r="O198" s="6" t="n">
        <v>9063</v>
      </c>
      <c r="P198">
        <f>SUM(C198:H198)</f>
        <v/>
      </c>
      <c r="Q198">
        <f>I198</f>
        <v/>
      </c>
      <c r="R198">
        <f>J198</f>
        <v/>
      </c>
      <c r="S198">
        <f>SUM(K198:N198)</f>
        <v/>
      </c>
      <c r="T198">
        <f>SUM(P198:S198)</f>
        <v/>
      </c>
      <c r="U198" s="3">
        <f>IF(T198=0,"",P198/T198)</f>
        <v/>
      </c>
      <c r="V198" s="3">
        <f>IF(T198=0,"",Q198/T198)</f>
        <v/>
      </c>
      <c r="W198" s="3">
        <f>IF(T198=0,"",R198/T198)</f>
        <v/>
      </c>
      <c r="X198" s="3">
        <f>IF(T198=0,"",S198/T198)</f>
        <v/>
      </c>
      <c r="Y198" s="4">
        <f>IF(T198=0,"",U198*Pesos!$B$2+V198*Pesos!$B$3+W198*Pesos!$B$4+X198*Pesos!$B$5)</f>
        <v/>
      </c>
    </row>
    <row r="199">
      <c r="A199" s="2" t="n">
        <v>198</v>
      </c>
      <c r="B199" t="n">
        <v>8</v>
      </c>
      <c r="C199" t="n">
        <v>369</v>
      </c>
      <c r="D199" t="n">
        <v>323</v>
      </c>
      <c r="E199" t="n">
        <v>500</v>
      </c>
      <c r="F199" t="n">
        <v>395</v>
      </c>
      <c r="G199" t="n">
        <v>294</v>
      </c>
      <c r="H199" t="n">
        <v>206</v>
      </c>
      <c r="I199" t="n">
        <v>745</v>
      </c>
      <c r="J199" t="n">
        <v>1368</v>
      </c>
      <c r="K199" t="n">
        <v>1207</v>
      </c>
      <c r="L199" t="n">
        <v>735</v>
      </c>
      <c r="M199" t="n">
        <v>855</v>
      </c>
      <c r="N199" t="n">
        <v>254</v>
      </c>
      <c r="O199" s="6" t="n">
        <v>7251</v>
      </c>
      <c r="P199">
        <f>SUM(C199:H199)</f>
        <v/>
      </c>
      <c r="Q199">
        <f>I199</f>
        <v/>
      </c>
      <c r="R199">
        <f>J199</f>
        <v/>
      </c>
      <c r="S199">
        <f>SUM(K199:N199)</f>
        <v/>
      </c>
      <c r="T199">
        <f>SUM(P199:S199)</f>
        <v/>
      </c>
      <c r="U199" s="3">
        <f>IF(T199=0,"",P199/T199)</f>
        <v/>
      </c>
      <c r="V199" s="3">
        <f>IF(T199=0,"",Q199/T199)</f>
        <v/>
      </c>
      <c r="W199" s="3">
        <f>IF(T199=0,"",R199/T199)</f>
        <v/>
      </c>
      <c r="X199" s="3">
        <f>IF(T199=0,"",S199/T199)</f>
        <v/>
      </c>
      <c r="Y199" s="4">
        <f>IF(T199=0,"",U199*Pesos!$B$2+V199*Pesos!$B$3+W199*Pesos!$B$4+X199*Pesos!$B$5)</f>
        <v/>
      </c>
    </row>
    <row r="200">
      <c r="A200" s="2" t="n">
        <v>199</v>
      </c>
      <c r="B200" t="n">
        <v>9</v>
      </c>
      <c r="C200" t="n">
        <v>590</v>
      </c>
      <c r="D200" t="n">
        <v>578</v>
      </c>
      <c r="E200" t="n">
        <v>549</v>
      </c>
      <c r="F200" t="n">
        <v>528</v>
      </c>
      <c r="G200" t="n">
        <v>347</v>
      </c>
      <c r="H200" t="n">
        <v>273</v>
      </c>
      <c r="I200" t="n">
        <v>914</v>
      </c>
      <c r="J200" t="n">
        <v>1978</v>
      </c>
      <c r="K200" t="n">
        <v>1597</v>
      </c>
      <c r="L200" t="n">
        <v>827</v>
      </c>
      <c r="M200" t="n">
        <v>784</v>
      </c>
      <c r="N200" t="n">
        <v>330</v>
      </c>
      <c r="O200" s="6" t="n">
        <v>9295</v>
      </c>
      <c r="P200">
        <f>SUM(C200:H200)</f>
        <v/>
      </c>
      <c r="Q200">
        <f>I200</f>
        <v/>
      </c>
      <c r="R200">
        <f>J200</f>
        <v/>
      </c>
      <c r="S200">
        <f>SUM(K200:N200)</f>
        <v/>
      </c>
      <c r="T200">
        <f>SUM(P200:S200)</f>
        <v/>
      </c>
      <c r="U200" s="3">
        <f>IF(T200=0,"",P200/T200)</f>
        <v/>
      </c>
      <c r="V200" s="3">
        <f>IF(T200=0,"",Q200/T200)</f>
        <v/>
      </c>
      <c r="W200" s="3">
        <f>IF(T200=0,"",R200/T200)</f>
        <v/>
      </c>
      <c r="X200" s="3">
        <f>IF(T200=0,"",S200/T200)</f>
        <v/>
      </c>
      <c r="Y200" s="4">
        <f>IF(T200=0,"",U200*Pesos!$B$2+V200*Pesos!$B$3+W200*Pesos!$B$4+X200*Pesos!$B$5)</f>
        <v/>
      </c>
    </row>
    <row r="201">
      <c r="A201" s="2" t="n">
        <v>200</v>
      </c>
      <c r="B201" t="n">
        <v>8</v>
      </c>
      <c r="C201" t="n">
        <v>467</v>
      </c>
      <c r="D201" t="n">
        <v>514</v>
      </c>
      <c r="E201" t="n">
        <v>577</v>
      </c>
      <c r="F201" t="n">
        <v>376</v>
      </c>
      <c r="G201" t="n">
        <v>333</v>
      </c>
      <c r="H201" t="n">
        <v>274</v>
      </c>
      <c r="I201" t="n">
        <v>880</v>
      </c>
      <c r="J201" t="n">
        <v>1658</v>
      </c>
      <c r="K201" t="n">
        <v>1545</v>
      </c>
      <c r="L201" t="n">
        <v>1051</v>
      </c>
      <c r="M201" t="n">
        <v>1135</v>
      </c>
      <c r="N201" t="n">
        <v>191</v>
      </c>
      <c r="O201" s="6" t="n">
        <v>9001</v>
      </c>
      <c r="P201">
        <f>SUM(C201:H201)</f>
        <v/>
      </c>
      <c r="Q201">
        <f>I201</f>
        <v/>
      </c>
      <c r="R201">
        <f>J201</f>
        <v/>
      </c>
      <c r="S201">
        <f>SUM(K201:N201)</f>
        <v/>
      </c>
      <c r="T201">
        <f>SUM(P201:S201)</f>
        <v/>
      </c>
      <c r="U201" s="3">
        <f>IF(T201=0,"",P201/T201)</f>
        <v/>
      </c>
      <c r="V201" s="3">
        <f>IF(T201=0,"",Q201/T201)</f>
        <v/>
      </c>
      <c r="W201" s="3">
        <f>IF(T201=0,"",R201/T201)</f>
        <v/>
      </c>
      <c r="X201" s="3">
        <f>IF(T201=0,"",S201/T201)</f>
        <v/>
      </c>
      <c r="Y201" s="4">
        <f>IF(T201=0,"",U201*Pesos!$B$2+V201*Pesos!$B$3+W201*Pesos!$B$4+X201*Pesos!$B$5)</f>
        <v/>
      </c>
    </row>
    <row r="202">
      <c r="A202" s="2" t="n">
        <v>201</v>
      </c>
      <c r="B202" t="n">
        <v>7</v>
      </c>
      <c r="C202" t="n">
        <v>542</v>
      </c>
      <c r="D202" t="n">
        <v>431</v>
      </c>
      <c r="E202" t="n">
        <v>469</v>
      </c>
      <c r="F202" t="n">
        <v>395</v>
      </c>
      <c r="G202" t="n">
        <v>296</v>
      </c>
      <c r="H202" t="n">
        <v>249</v>
      </c>
      <c r="I202" t="n">
        <v>640</v>
      </c>
      <c r="J202" t="n">
        <v>1143</v>
      </c>
      <c r="K202" t="n">
        <v>902</v>
      </c>
      <c r="L202" t="n">
        <v>703</v>
      </c>
      <c r="M202" t="n">
        <v>756</v>
      </c>
      <c r="N202" t="n">
        <v>349</v>
      </c>
      <c r="O202" s="6" t="n">
        <v>6875</v>
      </c>
      <c r="P202">
        <f>SUM(C202:H202)</f>
        <v/>
      </c>
      <c r="Q202">
        <f>I202</f>
        <v/>
      </c>
      <c r="R202">
        <f>J202</f>
        <v/>
      </c>
      <c r="S202">
        <f>SUM(K202:N202)</f>
        <v/>
      </c>
      <c r="T202">
        <f>SUM(P202:S202)</f>
        <v/>
      </c>
      <c r="U202" s="3">
        <f>IF(T202=0,"",P202/T202)</f>
        <v/>
      </c>
      <c r="V202" s="3">
        <f>IF(T202=0,"",Q202/T202)</f>
        <v/>
      </c>
      <c r="W202" s="3">
        <f>IF(T202=0,"",R202/T202)</f>
        <v/>
      </c>
      <c r="X202" s="3">
        <f>IF(T202=0,"",S202/T202)</f>
        <v/>
      </c>
      <c r="Y202" s="4">
        <f>IF(T202=0,"",U202*Pesos!$B$2+V202*Pesos!$B$3+W202*Pesos!$B$4+X202*Pesos!$B$5)</f>
        <v/>
      </c>
    </row>
    <row r="203">
      <c r="A203" s="2" t="n">
        <v>202</v>
      </c>
      <c r="B203" t="n">
        <v>7</v>
      </c>
      <c r="C203" t="n">
        <v>435</v>
      </c>
      <c r="D203" t="n">
        <v>573</v>
      </c>
      <c r="E203" t="n">
        <v>501</v>
      </c>
      <c r="F203" t="n">
        <v>418</v>
      </c>
      <c r="G203" t="n">
        <v>308</v>
      </c>
      <c r="H203" t="n">
        <v>257</v>
      </c>
      <c r="I203" t="n">
        <v>778</v>
      </c>
      <c r="J203" t="n">
        <v>1434</v>
      </c>
      <c r="K203" t="n">
        <v>1980</v>
      </c>
      <c r="L203" t="n">
        <v>1073</v>
      </c>
      <c r="M203" t="n">
        <v>492</v>
      </c>
      <c r="N203" t="n">
        <v>115</v>
      </c>
      <c r="O203" s="6" t="n">
        <v>8364</v>
      </c>
      <c r="P203">
        <f>SUM(C203:H203)</f>
        <v/>
      </c>
      <c r="Q203">
        <f>I203</f>
        <v/>
      </c>
      <c r="R203">
        <f>J203</f>
        <v/>
      </c>
      <c r="S203">
        <f>SUM(K203:N203)</f>
        <v/>
      </c>
      <c r="T203">
        <f>SUM(P203:S203)</f>
        <v/>
      </c>
      <c r="U203" s="3">
        <f>IF(T203=0,"",P203/T203)</f>
        <v/>
      </c>
      <c r="V203" s="3">
        <f>IF(T203=0,"",Q203/T203)</f>
        <v/>
      </c>
      <c r="W203" s="3">
        <f>IF(T203=0,"",R203/T203)</f>
        <v/>
      </c>
      <c r="X203" s="3">
        <f>IF(T203=0,"",S203/T203)</f>
        <v/>
      </c>
      <c r="Y203" s="4">
        <f>IF(T203=0,"",U203*Pesos!$B$2+V203*Pesos!$B$3+W203*Pesos!$B$4+X203*Pesos!$B$5)</f>
        <v/>
      </c>
    </row>
    <row r="204">
      <c r="A204" s="2" t="n">
        <v>203</v>
      </c>
      <c r="B204" t="n">
        <v>7</v>
      </c>
      <c r="C204" t="n">
        <v>514</v>
      </c>
      <c r="D204" t="n">
        <v>397</v>
      </c>
      <c r="E204" t="n">
        <v>480</v>
      </c>
      <c r="F204" t="n">
        <v>357</v>
      </c>
      <c r="G204" t="n">
        <v>256</v>
      </c>
      <c r="H204" t="n">
        <v>270</v>
      </c>
      <c r="I204" t="n">
        <v>1310</v>
      </c>
      <c r="J204" t="n">
        <v>1637</v>
      </c>
      <c r="K204" t="n">
        <v>1541</v>
      </c>
      <c r="L204" t="n">
        <v>1067</v>
      </c>
      <c r="M204" t="n">
        <v>914</v>
      </c>
      <c r="N204" t="n">
        <v>110</v>
      </c>
      <c r="O204" s="6" t="n">
        <v>8853</v>
      </c>
      <c r="P204">
        <f>SUM(C204:H204)</f>
        <v/>
      </c>
      <c r="Q204">
        <f>I204</f>
        <v/>
      </c>
      <c r="R204">
        <f>J204</f>
        <v/>
      </c>
      <c r="S204">
        <f>SUM(K204:N204)</f>
        <v/>
      </c>
      <c r="T204">
        <f>SUM(P204:S204)</f>
        <v/>
      </c>
      <c r="U204" s="3">
        <f>IF(T204=0,"",P204/T204)</f>
        <v/>
      </c>
      <c r="V204" s="3">
        <f>IF(T204=0,"",Q204/T204)</f>
        <v/>
      </c>
      <c r="W204" s="3">
        <f>IF(T204=0,"",R204/T204)</f>
        <v/>
      </c>
      <c r="X204" s="3">
        <f>IF(T204=0,"",S204/T204)</f>
        <v/>
      </c>
      <c r="Y204" s="4">
        <f>IF(T204=0,"",U204*Pesos!$B$2+V204*Pesos!$B$3+W204*Pesos!$B$4+X204*Pesos!$B$5)</f>
        <v/>
      </c>
    </row>
    <row r="205">
      <c r="A205" s="2" t="n">
        <v>204</v>
      </c>
      <c r="B205" t="n">
        <v>7</v>
      </c>
      <c r="C205" t="n">
        <v>291</v>
      </c>
      <c r="D205" t="n">
        <v>238</v>
      </c>
      <c r="E205" t="n">
        <v>316</v>
      </c>
      <c r="F205" t="n">
        <v>334</v>
      </c>
      <c r="G205" t="n">
        <v>373</v>
      </c>
      <c r="H205" t="n">
        <v>236</v>
      </c>
      <c r="I205" t="n">
        <v>660</v>
      </c>
      <c r="J205" t="n">
        <v>1162</v>
      </c>
      <c r="K205" t="n">
        <v>2273</v>
      </c>
      <c r="L205" t="n">
        <v>617</v>
      </c>
      <c r="M205" t="n">
        <v>500</v>
      </c>
      <c r="N205" t="n">
        <v>6</v>
      </c>
      <c r="O205" s="6" t="n">
        <v>7006</v>
      </c>
      <c r="P205">
        <f>SUM(C205:H205)</f>
        <v/>
      </c>
      <c r="Q205">
        <f>I205</f>
        <v/>
      </c>
      <c r="R205">
        <f>J205</f>
        <v/>
      </c>
      <c r="S205">
        <f>SUM(K205:N205)</f>
        <v/>
      </c>
      <c r="T205">
        <f>SUM(P205:S205)</f>
        <v/>
      </c>
      <c r="U205" s="3">
        <f>IF(T205=0,"",P205/T205)</f>
        <v/>
      </c>
      <c r="V205" s="3">
        <f>IF(T205=0,"",Q205/T205)</f>
        <v/>
      </c>
      <c r="W205" s="3">
        <f>IF(T205=0,"",R205/T205)</f>
        <v/>
      </c>
      <c r="X205" s="3">
        <f>IF(T205=0,"",S205/T205)</f>
        <v/>
      </c>
      <c r="Y205" s="4">
        <f>IF(T205=0,"",U205*Pesos!$B$2+V205*Pesos!$B$3+W205*Pesos!$B$4+X205*Pesos!$B$5)</f>
        <v/>
      </c>
    </row>
    <row r="206">
      <c r="A206" s="2" t="n">
        <v>205</v>
      </c>
      <c r="B206" t="n">
        <v>7</v>
      </c>
      <c r="C206" t="n">
        <v>291</v>
      </c>
      <c r="D206" t="n">
        <v>275</v>
      </c>
      <c r="E206" t="n">
        <v>299</v>
      </c>
      <c r="F206" t="n">
        <v>335</v>
      </c>
      <c r="G206" t="n">
        <v>285</v>
      </c>
      <c r="H206" t="n">
        <v>188</v>
      </c>
      <c r="I206" t="n">
        <v>783</v>
      </c>
      <c r="J206" t="n">
        <v>1443</v>
      </c>
      <c r="K206" t="n">
        <v>1778</v>
      </c>
      <c r="L206" t="n">
        <v>1663</v>
      </c>
      <c r="M206" t="n">
        <v>515</v>
      </c>
      <c r="N206" t="n">
        <v>0</v>
      </c>
      <c r="O206" s="6" t="n">
        <v>7855</v>
      </c>
      <c r="P206">
        <f>SUM(C206:H206)</f>
        <v/>
      </c>
      <c r="Q206">
        <f>I206</f>
        <v/>
      </c>
      <c r="R206">
        <f>J206</f>
        <v/>
      </c>
      <c r="S206">
        <f>SUM(K206:N206)</f>
        <v/>
      </c>
      <c r="T206">
        <f>SUM(P206:S206)</f>
        <v/>
      </c>
      <c r="U206" s="3">
        <f>IF(T206=0,"",P206/T206)</f>
        <v/>
      </c>
      <c r="V206" s="3">
        <f>IF(T206=0,"",Q206/T206)</f>
        <v/>
      </c>
      <c r="W206" s="3">
        <f>IF(T206=0,"",R206/T206)</f>
        <v/>
      </c>
      <c r="X206" s="3">
        <f>IF(T206=0,"",S206/T206)</f>
        <v/>
      </c>
      <c r="Y206" s="4">
        <f>IF(T206=0,"",U206*Pesos!$B$2+V206*Pesos!$B$3+W206*Pesos!$B$4+X206*Pesos!$B$5)</f>
        <v/>
      </c>
    </row>
    <row r="207">
      <c r="A207" s="2" t="n">
        <v>206</v>
      </c>
      <c r="B207" t="n">
        <v>5</v>
      </c>
      <c r="C207" t="n">
        <v>64</v>
      </c>
      <c r="D207" t="n">
        <v>69</v>
      </c>
      <c r="E207" t="n">
        <v>89</v>
      </c>
      <c r="F207" t="n">
        <v>80</v>
      </c>
      <c r="G207" t="n">
        <v>92</v>
      </c>
      <c r="H207" t="n">
        <v>68</v>
      </c>
      <c r="I207" t="n">
        <v>202</v>
      </c>
      <c r="J207" t="n">
        <v>640</v>
      </c>
      <c r="K207" t="n">
        <v>915</v>
      </c>
      <c r="L207" t="n">
        <v>1191</v>
      </c>
      <c r="M207" t="n">
        <v>832</v>
      </c>
      <c r="N207" t="n">
        <v>15</v>
      </c>
      <c r="O207" s="6" t="n">
        <v>4257</v>
      </c>
      <c r="P207">
        <f>SUM(C207:H207)</f>
        <v/>
      </c>
      <c r="Q207">
        <f>I207</f>
        <v/>
      </c>
      <c r="R207">
        <f>J207</f>
        <v/>
      </c>
      <c r="S207">
        <f>SUM(K207:N207)</f>
        <v/>
      </c>
      <c r="T207">
        <f>SUM(P207:S207)</f>
        <v/>
      </c>
      <c r="U207" s="3">
        <f>IF(T207=0,"",P207/T207)</f>
        <v/>
      </c>
      <c r="V207" s="3">
        <f>IF(T207=0,"",Q207/T207)</f>
        <v/>
      </c>
      <c r="W207" s="3">
        <f>IF(T207=0,"",R207/T207)</f>
        <v/>
      </c>
      <c r="X207" s="3">
        <f>IF(T207=0,"",S207/T207)</f>
        <v/>
      </c>
      <c r="Y207" s="4">
        <f>IF(T207=0,"",U207*Pesos!$B$2+V207*Pesos!$B$3+W207*Pesos!$B$4+X207*Pesos!$B$5)</f>
        <v/>
      </c>
    </row>
    <row r="208">
      <c r="A208" s="2" t="n">
        <v>207</v>
      </c>
      <c r="B208" t="n">
        <v>10</v>
      </c>
      <c r="C208" t="n">
        <v>674</v>
      </c>
      <c r="D208" t="n">
        <v>704</v>
      </c>
      <c r="E208" t="n">
        <v>734</v>
      </c>
      <c r="F208" t="n">
        <v>614</v>
      </c>
      <c r="G208" t="n">
        <v>456</v>
      </c>
      <c r="H208" t="n">
        <v>336</v>
      </c>
      <c r="I208" t="n">
        <v>1521</v>
      </c>
      <c r="J208" t="n">
        <v>4373</v>
      </c>
      <c r="K208" t="n">
        <v>2737</v>
      </c>
      <c r="L208" t="n">
        <v>609</v>
      </c>
      <c r="M208" t="n">
        <v>294</v>
      </c>
      <c r="N208" t="n">
        <v>13</v>
      </c>
      <c r="O208" s="6" t="n">
        <v>13065</v>
      </c>
      <c r="P208">
        <f>SUM(C208:H208)</f>
        <v/>
      </c>
      <c r="Q208">
        <f>I208</f>
        <v/>
      </c>
      <c r="R208">
        <f>J208</f>
        <v/>
      </c>
      <c r="S208">
        <f>SUM(K208:N208)</f>
        <v/>
      </c>
      <c r="T208">
        <f>SUM(P208:S208)</f>
        <v/>
      </c>
      <c r="U208" s="3">
        <f>IF(T208=0,"",P208/T208)</f>
        <v/>
      </c>
      <c r="V208" s="3">
        <f>IF(T208=0,"",Q208/T208)</f>
        <v/>
      </c>
      <c r="W208" s="3">
        <f>IF(T208=0,"",R208/T208)</f>
        <v/>
      </c>
      <c r="X208" s="3">
        <f>IF(T208=0,"",S208/T208)</f>
        <v/>
      </c>
      <c r="Y208" s="4">
        <f>IF(T208=0,"",U208*Pesos!$B$2+V208*Pesos!$B$3+W208*Pesos!$B$4+X208*Pesos!$B$5)</f>
        <v/>
      </c>
    </row>
    <row r="209">
      <c r="A209" s="2" t="n">
        <v>208</v>
      </c>
      <c r="B209" t="n">
        <v>11</v>
      </c>
      <c r="C209" t="n">
        <v>419</v>
      </c>
      <c r="D209" t="n">
        <v>598</v>
      </c>
      <c r="E209" t="n">
        <v>518</v>
      </c>
      <c r="F209" t="n">
        <v>468</v>
      </c>
      <c r="G209" t="n">
        <v>754</v>
      </c>
      <c r="H209" t="n">
        <v>287</v>
      </c>
      <c r="I209" t="n">
        <v>1398</v>
      </c>
      <c r="J209" t="n">
        <v>6036</v>
      </c>
      <c r="K209" t="n">
        <v>947</v>
      </c>
      <c r="L209" t="n">
        <v>1549</v>
      </c>
      <c r="M209" t="n">
        <v>177</v>
      </c>
      <c r="N209" t="n">
        <v>0</v>
      </c>
      <c r="O209" s="6" t="n">
        <v>13151</v>
      </c>
      <c r="P209">
        <f>SUM(C209:H209)</f>
        <v/>
      </c>
      <c r="Q209">
        <f>I209</f>
        <v/>
      </c>
      <c r="R209">
        <f>J209</f>
        <v/>
      </c>
      <c r="S209">
        <f>SUM(K209:N209)</f>
        <v/>
      </c>
      <c r="T209">
        <f>SUM(P209:S209)</f>
        <v/>
      </c>
      <c r="U209" s="3">
        <f>IF(T209=0,"",P209/T209)</f>
        <v/>
      </c>
      <c r="V209" s="3">
        <f>IF(T209=0,"",Q209/T209)</f>
        <v/>
      </c>
      <c r="W209" s="3">
        <f>IF(T209=0,"",R209/T209)</f>
        <v/>
      </c>
      <c r="X209" s="3">
        <f>IF(T209=0,"",S209/T209)</f>
        <v/>
      </c>
      <c r="Y209" s="4">
        <f>IF(T209=0,"",U209*Pesos!$B$2+V209*Pesos!$B$3+W209*Pesos!$B$4+X209*Pesos!$B$5)</f>
        <v/>
      </c>
    </row>
    <row r="210">
      <c r="A210" s="2" t="n">
        <v>209</v>
      </c>
      <c r="B210" t="n">
        <v>9</v>
      </c>
      <c r="C210" t="n">
        <v>421</v>
      </c>
      <c r="D210" t="n">
        <v>455</v>
      </c>
      <c r="E210" t="n">
        <v>436</v>
      </c>
      <c r="F210" t="n">
        <v>603</v>
      </c>
      <c r="G210" t="n">
        <v>301</v>
      </c>
      <c r="H210" t="n">
        <v>493</v>
      </c>
      <c r="I210" t="n">
        <v>1033</v>
      </c>
      <c r="J210" t="n">
        <v>3097</v>
      </c>
      <c r="K210" t="n">
        <v>4094</v>
      </c>
      <c r="L210" t="n">
        <v>830</v>
      </c>
      <c r="M210" t="n">
        <v>0</v>
      </c>
      <c r="N210" t="n">
        <v>0</v>
      </c>
      <c r="O210" s="6" t="n">
        <v>11763</v>
      </c>
      <c r="P210">
        <f>SUM(C210:H210)</f>
        <v/>
      </c>
      <c r="Q210">
        <f>I210</f>
        <v/>
      </c>
      <c r="R210">
        <f>J210</f>
        <v/>
      </c>
      <c r="S210">
        <f>SUM(K210:N210)</f>
        <v/>
      </c>
      <c r="T210">
        <f>SUM(P210:S210)</f>
        <v/>
      </c>
      <c r="U210" s="3">
        <f>IF(T210=0,"",P210/T210)</f>
        <v/>
      </c>
      <c r="V210" s="3">
        <f>IF(T210=0,"",Q210/T210)</f>
        <v/>
      </c>
      <c r="W210" s="3">
        <f>IF(T210=0,"",R210/T210)</f>
        <v/>
      </c>
      <c r="X210" s="3">
        <f>IF(T210=0,"",S210/T210)</f>
        <v/>
      </c>
      <c r="Y210" s="4">
        <f>IF(T210=0,"",U210*Pesos!$B$2+V210*Pesos!$B$3+W210*Pesos!$B$4+X210*Pesos!$B$5)</f>
        <v/>
      </c>
    </row>
    <row r="211">
      <c r="A211" s="2" t="n">
        <v>210</v>
      </c>
      <c r="B211" t="n">
        <v>8</v>
      </c>
      <c r="C211" t="n">
        <v>302</v>
      </c>
      <c r="D211" t="n">
        <v>376</v>
      </c>
      <c r="E211" t="n">
        <v>432</v>
      </c>
      <c r="F211" t="n">
        <v>335</v>
      </c>
      <c r="G211" t="n">
        <v>330</v>
      </c>
      <c r="H211" t="n">
        <v>248</v>
      </c>
      <c r="I211" t="n">
        <v>903</v>
      </c>
      <c r="J211" t="n">
        <v>2020</v>
      </c>
      <c r="K211" t="n">
        <v>6211</v>
      </c>
      <c r="L211" t="n">
        <v>47</v>
      </c>
      <c r="M211" t="n">
        <v>0</v>
      </c>
      <c r="N211" t="n">
        <v>0</v>
      </c>
      <c r="O211" s="6" t="n">
        <v>11204</v>
      </c>
      <c r="P211">
        <f>SUM(C211:H211)</f>
        <v/>
      </c>
      <c r="Q211">
        <f>I211</f>
        <v/>
      </c>
      <c r="R211">
        <f>J211</f>
        <v/>
      </c>
      <c r="S211">
        <f>SUM(K211:N211)</f>
        <v/>
      </c>
      <c r="T211">
        <f>SUM(P211:S211)</f>
        <v/>
      </c>
      <c r="U211" s="3">
        <f>IF(T211=0,"",P211/T211)</f>
        <v/>
      </c>
      <c r="V211" s="3">
        <f>IF(T211=0,"",Q211/T211)</f>
        <v/>
      </c>
      <c r="W211" s="3">
        <f>IF(T211=0,"",R211/T211)</f>
        <v/>
      </c>
      <c r="X211" s="3">
        <f>IF(T211=0,"",S211/T211)</f>
        <v/>
      </c>
      <c r="Y211" s="4">
        <f>IF(T211=0,"",U211*Pesos!$B$2+V211*Pesos!$B$3+W211*Pesos!$B$4+X211*Pesos!$B$5)</f>
        <v/>
      </c>
    </row>
    <row r="212">
      <c r="A212" s="2" t="n">
        <v>211</v>
      </c>
      <c r="B212" t="n">
        <v>12</v>
      </c>
      <c r="C212" t="n">
        <v>480</v>
      </c>
      <c r="D212" t="n">
        <v>463</v>
      </c>
      <c r="E212" t="n">
        <v>511</v>
      </c>
      <c r="F212" t="n">
        <v>446</v>
      </c>
      <c r="G212" t="n">
        <v>374</v>
      </c>
      <c r="H212" t="n">
        <v>376</v>
      </c>
      <c r="I212" t="n">
        <v>1359</v>
      </c>
      <c r="J212" t="n">
        <v>9059</v>
      </c>
      <c r="K212" t="n">
        <v>4284</v>
      </c>
      <c r="L212" t="n">
        <v>14</v>
      </c>
      <c r="M212" t="n">
        <v>2</v>
      </c>
      <c r="N212" t="n">
        <v>0</v>
      </c>
      <c r="O212" s="6" t="n">
        <v>17368</v>
      </c>
      <c r="P212">
        <f>SUM(C212:H212)</f>
        <v/>
      </c>
      <c r="Q212">
        <f>I212</f>
        <v/>
      </c>
      <c r="R212">
        <f>J212</f>
        <v/>
      </c>
      <c r="S212">
        <f>SUM(K212:N212)</f>
        <v/>
      </c>
      <c r="T212">
        <f>SUM(P212:S212)</f>
        <v/>
      </c>
      <c r="U212" s="3">
        <f>IF(T212=0,"",P212/T212)</f>
        <v/>
      </c>
      <c r="V212" s="3">
        <f>IF(T212=0,"",Q212/T212)</f>
        <v/>
      </c>
      <c r="W212" s="3">
        <f>IF(T212=0,"",R212/T212)</f>
        <v/>
      </c>
      <c r="X212" s="3">
        <f>IF(T212=0,"",S212/T212)</f>
        <v/>
      </c>
      <c r="Y212" s="4">
        <f>IF(T212=0,"",U212*Pesos!$B$2+V212*Pesos!$B$3+W212*Pesos!$B$4+X212*Pesos!$B$5)</f>
        <v/>
      </c>
    </row>
    <row r="213">
      <c r="A213" s="2" t="n">
        <v>212</v>
      </c>
      <c r="B213" t="n">
        <v>8</v>
      </c>
      <c r="C213" t="n">
        <v>443</v>
      </c>
      <c r="D213" t="n">
        <v>502</v>
      </c>
      <c r="E213" t="n">
        <v>493</v>
      </c>
      <c r="F213" t="n">
        <v>361</v>
      </c>
      <c r="G213" t="n">
        <v>367</v>
      </c>
      <c r="H213" t="n">
        <v>302</v>
      </c>
      <c r="I213" t="n">
        <v>794</v>
      </c>
      <c r="J213" t="n">
        <v>1424</v>
      </c>
      <c r="K213" t="n">
        <v>3317</v>
      </c>
      <c r="L213" t="n">
        <v>1075</v>
      </c>
      <c r="M213" t="n">
        <v>0</v>
      </c>
      <c r="N213" t="n">
        <v>0</v>
      </c>
      <c r="O213" s="6" t="n">
        <v>9078</v>
      </c>
      <c r="P213">
        <f>SUM(C213:H213)</f>
        <v/>
      </c>
      <c r="Q213">
        <f>I213</f>
        <v/>
      </c>
      <c r="R213">
        <f>J213</f>
        <v/>
      </c>
      <c r="S213">
        <f>SUM(K213:N213)</f>
        <v/>
      </c>
      <c r="T213">
        <f>SUM(P213:S213)</f>
        <v/>
      </c>
      <c r="U213" s="3">
        <f>IF(T213=0,"",P213/T213)</f>
        <v/>
      </c>
      <c r="V213" s="3">
        <f>IF(T213=0,"",Q213/T213)</f>
        <v/>
      </c>
      <c r="W213" s="3">
        <f>IF(T213=0,"",R213/T213)</f>
        <v/>
      </c>
      <c r="X213" s="3">
        <f>IF(T213=0,"",S213/T213)</f>
        <v/>
      </c>
      <c r="Y213" s="4">
        <f>IF(T213=0,"",U213*Pesos!$B$2+V213*Pesos!$B$3+W213*Pesos!$B$4+X213*Pesos!$B$5)</f>
        <v/>
      </c>
    </row>
    <row r="214">
      <c r="A214" s="2" t="n">
        <v>213</v>
      </c>
      <c r="B214" t="n">
        <v>8</v>
      </c>
      <c r="C214" t="n">
        <v>341</v>
      </c>
      <c r="D214" t="n">
        <v>380</v>
      </c>
      <c r="E214" t="n">
        <v>449</v>
      </c>
      <c r="F214" t="n">
        <v>377</v>
      </c>
      <c r="G214" t="n">
        <v>337</v>
      </c>
      <c r="H214" t="n">
        <v>275</v>
      </c>
      <c r="I214" t="n">
        <v>1143</v>
      </c>
      <c r="J214" t="n">
        <v>4664</v>
      </c>
      <c r="K214" t="n">
        <v>1409</v>
      </c>
      <c r="L214" t="n">
        <v>1177</v>
      </c>
      <c r="M214" t="n">
        <v>152</v>
      </c>
      <c r="N214" t="n">
        <v>35</v>
      </c>
      <c r="O214" s="6" t="n">
        <v>10739</v>
      </c>
      <c r="P214">
        <f>SUM(C214:H214)</f>
        <v/>
      </c>
      <c r="Q214">
        <f>I214</f>
        <v/>
      </c>
      <c r="R214">
        <f>J214</f>
        <v/>
      </c>
      <c r="S214">
        <f>SUM(K214:N214)</f>
        <v/>
      </c>
      <c r="T214">
        <f>SUM(P214:S214)</f>
        <v/>
      </c>
      <c r="U214" s="3">
        <f>IF(T214=0,"",P214/T214)</f>
        <v/>
      </c>
      <c r="V214" s="3">
        <f>IF(T214=0,"",Q214/T214)</f>
        <v/>
      </c>
      <c r="W214" s="3">
        <f>IF(T214=0,"",R214/T214)</f>
        <v/>
      </c>
      <c r="X214" s="3">
        <f>IF(T214=0,"",S214/T214)</f>
        <v/>
      </c>
      <c r="Y214" s="4">
        <f>IF(T214=0,"",U214*Pesos!$B$2+V214*Pesos!$B$3+W214*Pesos!$B$4+X214*Pesos!$B$5)</f>
        <v/>
      </c>
    </row>
    <row r="215">
      <c r="A215" s="2" t="n">
        <v>214</v>
      </c>
      <c r="B215" t="n">
        <v>9</v>
      </c>
      <c r="C215" t="n">
        <v>321</v>
      </c>
      <c r="D215" t="n">
        <v>328</v>
      </c>
      <c r="E215" t="n">
        <v>379</v>
      </c>
      <c r="F215" t="n">
        <v>322</v>
      </c>
      <c r="G215" t="n">
        <v>320</v>
      </c>
      <c r="H215" t="n">
        <v>288</v>
      </c>
      <c r="I215" t="n">
        <v>796</v>
      </c>
      <c r="J215" t="n">
        <v>2278</v>
      </c>
      <c r="K215" t="n">
        <v>5408</v>
      </c>
      <c r="L215" t="n">
        <v>692</v>
      </c>
      <c r="M215" t="n">
        <v>13</v>
      </c>
      <c r="N215" t="n">
        <v>0</v>
      </c>
      <c r="O215" s="6" t="n">
        <v>11145</v>
      </c>
      <c r="P215">
        <f>SUM(C215:H215)</f>
        <v/>
      </c>
      <c r="Q215">
        <f>I215</f>
        <v/>
      </c>
      <c r="R215">
        <f>J215</f>
        <v/>
      </c>
      <c r="S215">
        <f>SUM(K215:N215)</f>
        <v/>
      </c>
      <c r="T215">
        <f>SUM(P215:S215)</f>
        <v/>
      </c>
      <c r="U215" s="3">
        <f>IF(T215=0,"",P215/T215)</f>
        <v/>
      </c>
      <c r="V215" s="3">
        <f>IF(T215=0,"",Q215/T215)</f>
        <v/>
      </c>
      <c r="W215" s="3">
        <f>IF(T215=0,"",R215/T215)</f>
        <v/>
      </c>
      <c r="X215" s="3">
        <f>IF(T215=0,"",S215/T215)</f>
        <v/>
      </c>
      <c r="Y215" s="4">
        <f>IF(T215=0,"",U215*Pesos!$B$2+V215*Pesos!$B$3+W215*Pesos!$B$4+X215*Pesos!$B$5)</f>
        <v/>
      </c>
    </row>
    <row r="216">
      <c r="A216" s="2" t="n">
        <v>215</v>
      </c>
      <c r="B216" t="n">
        <v>7</v>
      </c>
      <c r="C216" t="n">
        <v>338</v>
      </c>
      <c r="D216" t="n">
        <v>367</v>
      </c>
      <c r="E216" t="n">
        <v>353</v>
      </c>
      <c r="F216" t="n">
        <v>320</v>
      </c>
      <c r="G216" t="n">
        <v>245</v>
      </c>
      <c r="H216" t="n">
        <v>181</v>
      </c>
      <c r="I216" t="n">
        <v>492</v>
      </c>
      <c r="J216" t="n">
        <v>898</v>
      </c>
      <c r="K216" t="n">
        <v>1361</v>
      </c>
      <c r="L216" t="n">
        <v>2948</v>
      </c>
      <c r="M216" t="n">
        <v>0</v>
      </c>
      <c r="N216" t="n">
        <v>0</v>
      </c>
      <c r="O216" s="6" t="n">
        <v>7503</v>
      </c>
      <c r="P216">
        <f>SUM(C216:H216)</f>
        <v/>
      </c>
      <c r="Q216">
        <f>I216</f>
        <v/>
      </c>
      <c r="R216">
        <f>J216</f>
        <v/>
      </c>
      <c r="S216">
        <f>SUM(K216:N216)</f>
        <v/>
      </c>
      <c r="T216">
        <f>SUM(P216:S216)</f>
        <v/>
      </c>
      <c r="U216" s="3">
        <f>IF(T216=0,"",P216/T216)</f>
        <v/>
      </c>
      <c r="V216" s="3">
        <f>IF(T216=0,"",Q216/T216)</f>
        <v/>
      </c>
      <c r="W216" s="3">
        <f>IF(T216=0,"",R216/T216)</f>
        <v/>
      </c>
      <c r="X216" s="3">
        <f>IF(T216=0,"",S216/T216)</f>
        <v/>
      </c>
      <c r="Y216" s="4">
        <f>IF(T216=0,"",U216*Pesos!$B$2+V216*Pesos!$B$3+W216*Pesos!$B$4+X216*Pesos!$B$5)</f>
        <v/>
      </c>
    </row>
    <row r="217">
      <c r="A217" s="2" t="n">
        <v>216</v>
      </c>
      <c r="B217" t="n">
        <v>7</v>
      </c>
      <c r="C217" t="n">
        <v>356</v>
      </c>
      <c r="D217" t="n">
        <v>373</v>
      </c>
      <c r="E217" t="n">
        <v>342</v>
      </c>
      <c r="F217" t="n">
        <v>262</v>
      </c>
      <c r="G217" t="n">
        <v>180</v>
      </c>
      <c r="H217" t="n">
        <v>166</v>
      </c>
      <c r="I217" t="n">
        <v>512</v>
      </c>
      <c r="J217" t="n">
        <v>964</v>
      </c>
      <c r="K217" t="n">
        <v>1899</v>
      </c>
      <c r="L217" t="n">
        <v>2041</v>
      </c>
      <c r="M217" t="n">
        <v>8</v>
      </c>
      <c r="N217" t="n">
        <v>0</v>
      </c>
      <c r="O217" s="6" t="n">
        <v>7103</v>
      </c>
      <c r="P217">
        <f>SUM(C217:H217)</f>
        <v/>
      </c>
      <c r="Q217">
        <f>I217</f>
        <v/>
      </c>
      <c r="R217">
        <f>J217</f>
        <v/>
      </c>
      <c r="S217">
        <f>SUM(K217:N217)</f>
        <v/>
      </c>
      <c r="T217">
        <f>SUM(P217:S217)</f>
        <v/>
      </c>
      <c r="U217" s="3">
        <f>IF(T217=0,"",P217/T217)</f>
        <v/>
      </c>
      <c r="V217" s="3">
        <f>IF(T217=0,"",Q217/T217)</f>
        <v/>
      </c>
      <c r="W217" s="3">
        <f>IF(T217=0,"",R217/T217)</f>
        <v/>
      </c>
      <c r="X217" s="3">
        <f>IF(T217=0,"",S217/T217)</f>
        <v/>
      </c>
      <c r="Y217" s="4">
        <f>IF(T217=0,"",U217*Pesos!$B$2+V217*Pesos!$B$3+W217*Pesos!$B$4+X217*Pesos!$B$5)</f>
        <v/>
      </c>
    </row>
    <row r="218">
      <c r="A218" s="2" t="n">
        <v>217</v>
      </c>
      <c r="B218" t="n">
        <v>7</v>
      </c>
      <c r="C218" t="n">
        <v>341</v>
      </c>
      <c r="D218" t="n">
        <v>332</v>
      </c>
      <c r="E218" t="n">
        <v>349</v>
      </c>
      <c r="F218" t="n">
        <v>303</v>
      </c>
      <c r="G218" t="n">
        <v>187</v>
      </c>
      <c r="H218" t="n">
        <v>175</v>
      </c>
      <c r="I218" t="n">
        <v>510</v>
      </c>
      <c r="J218" t="n">
        <v>935</v>
      </c>
      <c r="K218" t="n">
        <v>1537</v>
      </c>
      <c r="L218" t="n">
        <v>1795</v>
      </c>
      <c r="M218" t="n">
        <v>0</v>
      </c>
      <c r="N218" t="n">
        <v>0</v>
      </c>
      <c r="O218" s="6" t="n">
        <v>6464</v>
      </c>
      <c r="P218">
        <f>SUM(C218:H218)</f>
        <v/>
      </c>
      <c r="Q218">
        <f>I218</f>
        <v/>
      </c>
      <c r="R218">
        <f>J218</f>
        <v/>
      </c>
      <c r="S218">
        <f>SUM(K218:N218)</f>
        <v/>
      </c>
      <c r="T218">
        <f>SUM(P218:S218)</f>
        <v/>
      </c>
      <c r="U218" s="3">
        <f>IF(T218=0,"",P218/T218)</f>
        <v/>
      </c>
      <c r="V218" s="3">
        <f>IF(T218=0,"",Q218/T218)</f>
        <v/>
      </c>
      <c r="W218" s="3">
        <f>IF(T218=0,"",R218/T218)</f>
        <v/>
      </c>
      <c r="X218" s="3">
        <f>IF(T218=0,"",S218/T218)</f>
        <v/>
      </c>
      <c r="Y218" s="4">
        <f>IF(T218=0,"",U218*Pesos!$B$2+V218*Pesos!$B$3+W218*Pesos!$B$4+X218*Pesos!$B$5)</f>
        <v/>
      </c>
    </row>
    <row r="219">
      <c r="A219" s="2" t="n">
        <v>218</v>
      </c>
      <c r="B219" t="n">
        <v>7</v>
      </c>
      <c r="C219" t="n">
        <v>241</v>
      </c>
      <c r="D219" t="n">
        <v>254</v>
      </c>
      <c r="E219" t="n">
        <v>298</v>
      </c>
      <c r="F219" t="n">
        <v>267</v>
      </c>
      <c r="G219" t="n">
        <v>230</v>
      </c>
      <c r="H219" t="n">
        <v>168</v>
      </c>
      <c r="I219" t="n">
        <v>659</v>
      </c>
      <c r="J219" t="n">
        <v>3272</v>
      </c>
      <c r="K219" t="n">
        <v>2886</v>
      </c>
      <c r="L219" t="n">
        <v>230</v>
      </c>
      <c r="M219" t="n">
        <v>0</v>
      </c>
      <c r="N219" t="n">
        <v>0</v>
      </c>
      <c r="O219" s="6" t="n">
        <v>8505</v>
      </c>
      <c r="P219">
        <f>SUM(C219:H219)</f>
        <v/>
      </c>
      <c r="Q219">
        <f>I219</f>
        <v/>
      </c>
      <c r="R219">
        <f>J219</f>
        <v/>
      </c>
      <c r="S219">
        <f>SUM(K219:N219)</f>
        <v/>
      </c>
      <c r="T219">
        <f>SUM(P219:S219)</f>
        <v/>
      </c>
      <c r="U219" s="3">
        <f>IF(T219=0,"",P219/T219)</f>
        <v/>
      </c>
      <c r="V219" s="3">
        <f>IF(T219=0,"",Q219/T219)</f>
        <v/>
      </c>
      <c r="W219" s="3">
        <f>IF(T219=0,"",R219/T219)</f>
        <v/>
      </c>
      <c r="X219" s="3">
        <f>IF(T219=0,"",S219/T219)</f>
        <v/>
      </c>
      <c r="Y219" s="4">
        <f>IF(T219=0,"",U219*Pesos!$B$2+V219*Pesos!$B$3+W219*Pesos!$B$4+X219*Pesos!$B$5)</f>
        <v/>
      </c>
    </row>
    <row r="220">
      <c r="A220" s="2" t="n">
        <v>219</v>
      </c>
      <c r="B220" t="n">
        <v>7</v>
      </c>
      <c r="C220" t="n">
        <v>431</v>
      </c>
      <c r="D220" t="n">
        <v>411</v>
      </c>
      <c r="E220" t="n">
        <v>487</v>
      </c>
      <c r="F220" t="n">
        <v>494</v>
      </c>
      <c r="G220" t="n">
        <v>393</v>
      </c>
      <c r="H220" t="n">
        <v>620</v>
      </c>
      <c r="I220" t="n">
        <v>1938</v>
      </c>
      <c r="J220" t="n">
        <v>6818</v>
      </c>
      <c r="K220" t="n">
        <v>592</v>
      </c>
      <c r="L220" t="n">
        <v>13</v>
      </c>
      <c r="M220" t="n">
        <v>0</v>
      </c>
      <c r="N220" t="n">
        <v>0</v>
      </c>
      <c r="O220" s="6" t="n">
        <v>12197</v>
      </c>
      <c r="P220">
        <f>SUM(C220:H220)</f>
        <v/>
      </c>
      <c r="Q220">
        <f>I220</f>
        <v/>
      </c>
      <c r="R220">
        <f>J220</f>
        <v/>
      </c>
      <c r="S220">
        <f>SUM(K220:N220)</f>
        <v/>
      </c>
      <c r="T220">
        <f>SUM(P220:S220)</f>
        <v/>
      </c>
      <c r="U220" s="3">
        <f>IF(T220=0,"",P220/T220)</f>
        <v/>
      </c>
      <c r="V220" s="3">
        <f>IF(T220=0,"",Q220/T220)</f>
        <v/>
      </c>
      <c r="W220" s="3">
        <f>IF(T220=0,"",R220/T220)</f>
        <v/>
      </c>
      <c r="X220" s="3">
        <f>IF(T220=0,"",S220/T220)</f>
        <v/>
      </c>
      <c r="Y220" s="4">
        <f>IF(T220=0,"",U220*Pesos!$B$2+V220*Pesos!$B$3+W220*Pesos!$B$4+X220*Pesos!$B$5)</f>
        <v/>
      </c>
    </row>
    <row r="221">
      <c r="A221" s="2" t="n">
        <v>220</v>
      </c>
      <c r="B221" t="n">
        <v>8</v>
      </c>
      <c r="C221" t="n">
        <v>440</v>
      </c>
      <c r="D221" t="n">
        <v>430</v>
      </c>
      <c r="E221" t="n">
        <v>513</v>
      </c>
      <c r="F221" t="n">
        <v>305</v>
      </c>
      <c r="G221" t="n">
        <v>275</v>
      </c>
      <c r="H221" t="n">
        <v>223</v>
      </c>
      <c r="I221" t="n">
        <v>749</v>
      </c>
      <c r="J221" t="n">
        <v>2014</v>
      </c>
      <c r="K221" t="n">
        <v>1508</v>
      </c>
      <c r="L221" t="n">
        <v>1968</v>
      </c>
      <c r="M221" t="n">
        <v>547</v>
      </c>
      <c r="N221" t="n">
        <v>0</v>
      </c>
      <c r="O221" s="6" t="n">
        <v>8972</v>
      </c>
      <c r="P221">
        <f>SUM(C221:H221)</f>
        <v/>
      </c>
      <c r="Q221">
        <f>I221</f>
        <v/>
      </c>
      <c r="R221">
        <f>J221</f>
        <v/>
      </c>
      <c r="S221">
        <f>SUM(K221:N221)</f>
        <v/>
      </c>
      <c r="T221">
        <f>SUM(P221:S221)</f>
        <v/>
      </c>
      <c r="U221" s="3">
        <f>IF(T221=0,"",P221/T221)</f>
        <v/>
      </c>
      <c r="V221" s="3">
        <f>IF(T221=0,"",Q221/T221)</f>
        <v/>
      </c>
      <c r="W221" s="3">
        <f>IF(T221=0,"",R221/T221)</f>
        <v/>
      </c>
      <c r="X221" s="3">
        <f>IF(T221=0,"",S221/T221)</f>
        <v/>
      </c>
      <c r="Y221" s="4">
        <f>IF(T221=0,"",U221*Pesos!$B$2+V221*Pesos!$B$3+W221*Pesos!$B$4+X221*Pesos!$B$5)</f>
        <v/>
      </c>
    </row>
    <row r="222">
      <c r="A222" s="2" t="n">
        <v>221</v>
      </c>
      <c r="B222" t="n">
        <v>1</v>
      </c>
      <c r="C222" t="n">
        <v>356</v>
      </c>
      <c r="D222" t="n">
        <v>677</v>
      </c>
      <c r="E222" t="n">
        <v>93</v>
      </c>
      <c r="F222" t="n">
        <v>80</v>
      </c>
      <c r="G222" t="n">
        <v>56</v>
      </c>
      <c r="H222" t="n">
        <v>29</v>
      </c>
      <c r="I222" t="n">
        <v>100</v>
      </c>
      <c r="J222" t="n">
        <v>142</v>
      </c>
      <c r="K222" t="n">
        <v>190</v>
      </c>
      <c r="L222" t="n">
        <v>42</v>
      </c>
      <c r="M222" t="n">
        <v>28</v>
      </c>
      <c r="N222" t="n">
        <v>16</v>
      </c>
      <c r="O222" s="6" t="n">
        <v>1809</v>
      </c>
      <c r="P222">
        <f>SUM(C222:H222)</f>
        <v/>
      </c>
      <c r="Q222">
        <f>I222</f>
        <v/>
      </c>
      <c r="R222">
        <f>J222</f>
        <v/>
      </c>
      <c r="S222">
        <f>SUM(K222:N222)</f>
        <v/>
      </c>
      <c r="T222">
        <f>SUM(P222:S222)</f>
        <v/>
      </c>
      <c r="U222" s="3">
        <f>IF(T222=0,"",P222/T222)</f>
        <v/>
      </c>
      <c r="V222" s="3">
        <f>IF(T222=0,"",Q222/T222)</f>
        <v/>
      </c>
      <c r="W222" s="3">
        <f>IF(T222=0,"",R222/T222)</f>
        <v/>
      </c>
      <c r="X222" s="3">
        <f>IF(T222=0,"",S222/T222)</f>
        <v/>
      </c>
      <c r="Y222" s="4">
        <f>IF(T222=0,"",U222*Pesos!$B$2+V222*Pesos!$B$3+W222*Pesos!$B$4+X222*Pesos!$B$5)</f>
        <v/>
      </c>
    </row>
    <row r="223">
      <c r="A223" s="2" t="n">
        <v>222</v>
      </c>
      <c r="B223" t="n">
        <v>5</v>
      </c>
      <c r="C223" t="n">
        <v>713</v>
      </c>
      <c r="D223" t="n">
        <v>1629</v>
      </c>
      <c r="E223" t="n">
        <v>883</v>
      </c>
      <c r="F223" t="n">
        <v>1996</v>
      </c>
      <c r="G223" t="n">
        <v>2794</v>
      </c>
      <c r="H223" t="n">
        <v>1317</v>
      </c>
      <c r="I223" t="n">
        <v>1151</v>
      </c>
      <c r="J223" t="n">
        <v>521</v>
      </c>
      <c r="K223" t="n">
        <v>112</v>
      </c>
      <c r="L223" t="n">
        <v>25</v>
      </c>
      <c r="M223" t="n">
        <v>6</v>
      </c>
      <c r="N223" t="n">
        <v>0</v>
      </c>
      <c r="O223" s="6" t="n">
        <v>11147</v>
      </c>
      <c r="P223">
        <f>SUM(C223:H223)</f>
        <v/>
      </c>
      <c r="Q223">
        <f>I223</f>
        <v/>
      </c>
      <c r="R223">
        <f>J223</f>
        <v/>
      </c>
      <c r="S223">
        <f>SUM(K223:N223)</f>
        <v/>
      </c>
      <c r="T223">
        <f>SUM(P223:S223)</f>
        <v/>
      </c>
      <c r="U223" s="3">
        <f>IF(T223=0,"",P223/T223)</f>
        <v/>
      </c>
      <c r="V223" s="3">
        <f>IF(T223=0,"",Q223/T223)</f>
        <v/>
      </c>
      <c r="W223" s="3">
        <f>IF(T223=0,"",R223/T223)</f>
        <v/>
      </c>
      <c r="X223" s="3">
        <f>IF(T223=0,"",S223/T223)</f>
        <v/>
      </c>
      <c r="Y223" s="4">
        <f>IF(T223=0,"",U223*Pesos!$B$2+V223*Pesos!$B$3+W223*Pesos!$B$4+X223*Pesos!$B$5)</f>
        <v/>
      </c>
    </row>
    <row r="224">
      <c r="A224" s="2" t="n">
        <v>223</v>
      </c>
      <c r="B224" t="n">
        <v>9</v>
      </c>
      <c r="C224" t="n">
        <v>801</v>
      </c>
      <c r="D224" t="n">
        <v>1026</v>
      </c>
      <c r="E224" t="n">
        <v>929</v>
      </c>
      <c r="F224" t="n">
        <v>891</v>
      </c>
      <c r="G224" t="n">
        <v>634</v>
      </c>
      <c r="H224" t="n">
        <v>677</v>
      </c>
      <c r="I224" t="n">
        <v>1431</v>
      </c>
      <c r="J224" t="n">
        <v>3506</v>
      </c>
      <c r="K224" t="n">
        <v>2694</v>
      </c>
      <c r="L224" t="n">
        <v>882</v>
      </c>
      <c r="M224" t="n">
        <v>40</v>
      </c>
      <c r="N224" t="n">
        <v>0</v>
      </c>
      <c r="O224" s="6" t="n">
        <v>13511</v>
      </c>
      <c r="P224">
        <f>SUM(C224:H224)</f>
        <v/>
      </c>
      <c r="Q224">
        <f>I224</f>
        <v/>
      </c>
      <c r="R224">
        <f>J224</f>
        <v/>
      </c>
      <c r="S224">
        <f>SUM(K224:N224)</f>
        <v/>
      </c>
      <c r="T224">
        <f>SUM(P224:S224)</f>
        <v/>
      </c>
      <c r="U224" s="3">
        <f>IF(T224=0,"",P224/T224)</f>
        <v/>
      </c>
      <c r="V224" s="3">
        <f>IF(T224=0,"",Q224/T224)</f>
        <v/>
      </c>
      <c r="W224" s="3">
        <f>IF(T224=0,"",R224/T224)</f>
        <v/>
      </c>
      <c r="X224" s="3">
        <f>IF(T224=0,"",S224/T224)</f>
        <v/>
      </c>
      <c r="Y224" s="4">
        <f>IF(T224=0,"",U224*Pesos!$B$2+V224*Pesos!$B$3+W224*Pesos!$B$4+X224*Pesos!$B$5)</f>
        <v/>
      </c>
    </row>
    <row r="225">
      <c r="A225" s="2" t="n">
        <v>224</v>
      </c>
      <c r="B225" t="n">
        <v>3</v>
      </c>
      <c r="C225" t="n">
        <v>510</v>
      </c>
      <c r="D225" t="n">
        <v>429</v>
      </c>
      <c r="E225" t="n">
        <v>619</v>
      </c>
      <c r="F225" t="n">
        <v>710</v>
      </c>
      <c r="G225" t="n">
        <v>951</v>
      </c>
      <c r="H225" t="n">
        <v>894</v>
      </c>
      <c r="I225" t="n">
        <v>935</v>
      </c>
      <c r="J225" t="n">
        <v>192</v>
      </c>
      <c r="K225" t="n">
        <v>115</v>
      </c>
      <c r="L225" t="n">
        <v>67</v>
      </c>
      <c r="M225" t="n">
        <v>20</v>
      </c>
      <c r="N225" t="n">
        <v>3</v>
      </c>
      <c r="O225" s="6" t="n">
        <v>5445</v>
      </c>
      <c r="P225">
        <f>SUM(C225:H225)</f>
        <v/>
      </c>
      <c r="Q225">
        <f>I225</f>
        <v/>
      </c>
      <c r="R225">
        <f>J225</f>
        <v/>
      </c>
      <c r="S225">
        <f>SUM(K225:N225)</f>
        <v/>
      </c>
      <c r="T225">
        <f>SUM(P225:S225)</f>
        <v/>
      </c>
      <c r="U225" s="3">
        <f>IF(T225=0,"",P225/T225)</f>
        <v/>
      </c>
      <c r="V225" s="3">
        <f>IF(T225=0,"",Q225/T225)</f>
        <v/>
      </c>
      <c r="W225" s="3">
        <f>IF(T225=0,"",R225/T225)</f>
        <v/>
      </c>
      <c r="X225" s="3">
        <f>IF(T225=0,"",S225/T225)</f>
        <v/>
      </c>
      <c r="Y225" s="4">
        <f>IF(T225=0,"",U225*Pesos!$B$2+V225*Pesos!$B$3+W225*Pesos!$B$4+X225*Pesos!$B$5)</f>
        <v/>
      </c>
    </row>
    <row r="226">
      <c r="A226" s="2" t="n">
        <v>225</v>
      </c>
      <c r="B226" t="n">
        <v>12</v>
      </c>
      <c r="C226" t="n">
        <v>698</v>
      </c>
      <c r="D226" t="n">
        <v>589</v>
      </c>
      <c r="E226" t="n">
        <v>1087</v>
      </c>
      <c r="F226" t="n">
        <v>668</v>
      </c>
      <c r="G226" t="n">
        <v>299</v>
      </c>
      <c r="H226" t="n">
        <v>219</v>
      </c>
      <c r="I226" t="n">
        <v>973</v>
      </c>
      <c r="J226" t="n">
        <v>1890</v>
      </c>
      <c r="K226" t="n">
        <v>1751</v>
      </c>
      <c r="L226" t="n">
        <v>3442</v>
      </c>
      <c r="M226" t="n">
        <v>644</v>
      </c>
      <c r="N226" t="n">
        <v>64</v>
      </c>
      <c r="O226" s="6" t="n">
        <v>12324</v>
      </c>
      <c r="P226">
        <f>SUM(C226:H226)</f>
        <v/>
      </c>
      <c r="Q226">
        <f>I226</f>
        <v/>
      </c>
      <c r="R226">
        <f>J226</f>
        <v/>
      </c>
      <c r="S226">
        <f>SUM(K226:N226)</f>
        <v/>
      </c>
      <c r="T226">
        <f>SUM(P226:S226)</f>
        <v/>
      </c>
      <c r="U226" s="3">
        <f>IF(T226=0,"",P226/T226)</f>
        <v/>
      </c>
      <c r="V226" s="3">
        <f>IF(T226=0,"",Q226/T226)</f>
        <v/>
      </c>
      <c r="W226" s="3">
        <f>IF(T226=0,"",R226/T226)</f>
        <v/>
      </c>
      <c r="X226" s="3">
        <f>IF(T226=0,"",S226/T226)</f>
        <v/>
      </c>
      <c r="Y226" s="4">
        <f>IF(T226=0,"",U226*Pesos!$B$2+V226*Pesos!$B$3+W226*Pesos!$B$4+X226*Pesos!$B$5)</f>
        <v/>
      </c>
    </row>
    <row r="227">
      <c r="A227" s="2" t="n">
        <v>226</v>
      </c>
      <c r="B227" t="n">
        <v>7</v>
      </c>
      <c r="C227" t="n">
        <v>589</v>
      </c>
      <c r="D227" t="n">
        <v>492</v>
      </c>
      <c r="E227" t="n">
        <v>484</v>
      </c>
      <c r="F227" t="n">
        <v>441</v>
      </c>
      <c r="G227" t="n">
        <v>313</v>
      </c>
      <c r="H227" t="n">
        <v>249</v>
      </c>
      <c r="I227" t="n">
        <v>833</v>
      </c>
      <c r="J227" t="n">
        <v>1483</v>
      </c>
      <c r="K227" t="n">
        <v>1594</v>
      </c>
      <c r="L227" t="n">
        <v>893</v>
      </c>
      <c r="M227" t="n">
        <v>1030</v>
      </c>
      <c r="N227" t="n">
        <v>180</v>
      </c>
      <c r="O227" s="6" t="n">
        <v>8581</v>
      </c>
      <c r="P227">
        <f>SUM(C227:H227)</f>
        <v/>
      </c>
      <c r="Q227">
        <f>I227</f>
        <v/>
      </c>
      <c r="R227">
        <f>J227</f>
        <v/>
      </c>
      <c r="S227">
        <f>SUM(K227:N227)</f>
        <v/>
      </c>
      <c r="T227">
        <f>SUM(P227:S227)</f>
        <v/>
      </c>
      <c r="U227" s="3">
        <f>IF(T227=0,"",P227/T227)</f>
        <v/>
      </c>
      <c r="V227" s="3">
        <f>IF(T227=0,"",Q227/T227)</f>
        <v/>
      </c>
      <c r="W227" s="3">
        <f>IF(T227=0,"",R227/T227)</f>
        <v/>
      </c>
      <c r="X227" s="3">
        <f>IF(T227=0,"",S227/T227)</f>
        <v/>
      </c>
      <c r="Y227" s="4">
        <f>IF(T227=0,"",U227*Pesos!$B$2+V227*Pesos!$B$3+W227*Pesos!$B$4+X227*Pesos!$B$5)</f>
        <v/>
      </c>
    </row>
    <row r="228">
      <c r="A228" s="2" t="n">
        <v>227</v>
      </c>
      <c r="B228" t="n">
        <v>6</v>
      </c>
      <c r="C228" t="n">
        <v>316</v>
      </c>
      <c r="D228" t="n">
        <v>347</v>
      </c>
      <c r="E228" t="n">
        <v>363</v>
      </c>
      <c r="F228" t="n">
        <v>289</v>
      </c>
      <c r="G228" t="n">
        <v>267</v>
      </c>
      <c r="H228" t="n">
        <v>116</v>
      </c>
      <c r="I228" t="n">
        <v>631</v>
      </c>
      <c r="J228" t="n">
        <v>1261</v>
      </c>
      <c r="K228" t="n">
        <v>808</v>
      </c>
      <c r="L228" t="n">
        <v>670</v>
      </c>
      <c r="M228" t="n">
        <v>949</v>
      </c>
      <c r="N228" t="n">
        <v>53</v>
      </c>
      <c r="O228" s="6" t="n">
        <v>6070</v>
      </c>
      <c r="P228">
        <f>SUM(C228:H228)</f>
        <v/>
      </c>
      <c r="Q228">
        <f>I228</f>
        <v/>
      </c>
      <c r="R228">
        <f>J228</f>
        <v/>
      </c>
      <c r="S228">
        <f>SUM(K228:N228)</f>
        <v/>
      </c>
      <c r="T228">
        <f>SUM(P228:S228)</f>
        <v/>
      </c>
      <c r="U228" s="3">
        <f>IF(T228=0,"",P228/T228)</f>
        <v/>
      </c>
      <c r="V228" s="3">
        <f>IF(T228=0,"",Q228/T228)</f>
        <v/>
      </c>
      <c r="W228" s="3">
        <f>IF(T228=0,"",R228/T228)</f>
        <v/>
      </c>
      <c r="X228" s="3">
        <f>IF(T228=0,"",S228/T228)</f>
        <v/>
      </c>
      <c r="Y228" s="4">
        <f>IF(T228=0,"",U228*Pesos!$B$2+V228*Pesos!$B$3+W228*Pesos!$B$4+X228*Pesos!$B$5)</f>
        <v/>
      </c>
    </row>
    <row r="229">
      <c r="A229" s="2" t="n">
        <v>228</v>
      </c>
      <c r="B229" t="n">
        <v>9</v>
      </c>
      <c r="C229" t="n">
        <v>428</v>
      </c>
      <c r="D229" t="n">
        <v>390</v>
      </c>
      <c r="E229" t="n">
        <v>402</v>
      </c>
      <c r="F229" t="n">
        <v>343</v>
      </c>
      <c r="G229" t="n">
        <v>338</v>
      </c>
      <c r="H229" t="n">
        <v>262</v>
      </c>
      <c r="I229" t="n">
        <v>789</v>
      </c>
      <c r="J229" t="n">
        <v>1679</v>
      </c>
      <c r="K229" t="n">
        <v>1845</v>
      </c>
      <c r="L229" t="n">
        <v>1269</v>
      </c>
      <c r="M229" t="n">
        <v>1215</v>
      </c>
      <c r="N229" t="n">
        <v>222</v>
      </c>
      <c r="O229" s="6" t="n">
        <v>9182</v>
      </c>
      <c r="P229">
        <f>SUM(C229:H229)</f>
        <v/>
      </c>
      <c r="Q229">
        <f>I229</f>
        <v/>
      </c>
      <c r="R229">
        <f>J229</f>
        <v/>
      </c>
      <c r="S229">
        <f>SUM(K229:N229)</f>
        <v/>
      </c>
      <c r="T229">
        <f>SUM(P229:S229)</f>
        <v/>
      </c>
      <c r="U229" s="3">
        <f>IF(T229=0,"",P229/T229)</f>
        <v/>
      </c>
      <c r="V229" s="3">
        <f>IF(T229=0,"",Q229/T229)</f>
        <v/>
      </c>
      <c r="W229" s="3">
        <f>IF(T229=0,"",R229/T229)</f>
        <v/>
      </c>
      <c r="X229" s="3">
        <f>IF(T229=0,"",S229/T229)</f>
        <v/>
      </c>
      <c r="Y229" s="4">
        <f>IF(T229=0,"",U229*Pesos!$B$2+V229*Pesos!$B$3+W229*Pesos!$B$4+X229*Pesos!$B$5)</f>
        <v/>
      </c>
    </row>
    <row r="230">
      <c r="A230" s="2" t="n">
        <v>229</v>
      </c>
      <c r="B230" t="n">
        <v>8</v>
      </c>
      <c r="C230" t="n">
        <v>348</v>
      </c>
      <c r="D230" t="n">
        <v>388</v>
      </c>
      <c r="E230" t="n">
        <v>559</v>
      </c>
      <c r="F230" t="n">
        <v>503</v>
      </c>
      <c r="G230" t="n">
        <v>408</v>
      </c>
      <c r="H230" t="n">
        <v>455</v>
      </c>
      <c r="I230" t="n">
        <v>1258</v>
      </c>
      <c r="J230" t="n">
        <v>2319</v>
      </c>
      <c r="K230" t="n">
        <v>2194</v>
      </c>
      <c r="L230" t="n">
        <v>1163</v>
      </c>
      <c r="M230" t="n">
        <v>348</v>
      </c>
      <c r="N230" t="n">
        <v>132</v>
      </c>
      <c r="O230" s="6" t="n">
        <v>10075</v>
      </c>
      <c r="P230">
        <f>SUM(C230:H230)</f>
        <v/>
      </c>
      <c r="Q230">
        <f>I230</f>
        <v/>
      </c>
      <c r="R230">
        <f>J230</f>
        <v/>
      </c>
      <c r="S230">
        <f>SUM(K230:N230)</f>
        <v/>
      </c>
      <c r="T230">
        <f>SUM(P230:S230)</f>
        <v/>
      </c>
      <c r="U230" s="3">
        <f>IF(T230=0,"",P230/T230)</f>
        <v/>
      </c>
      <c r="V230" s="3">
        <f>IF(T230=0,"",Q230/T230)</f>
        <v/>
      </c>
      <c r="W230" s="3">
        <f>IF(T230=0,"",R230/T230)</f>
        <v/>
      </c>
      <c r="X230" s="3">
        <f>IF(T230=0,"",S230/T230)</f>
        <v/>
      </c>
      <c r="Y230" s="4">
        <f>IF(T230=0,"",U230*Pesos!$B$2+V230*Pesos!$B$3+W230*Pesos!$B$4+X230*Pesos!$B$5)</f>
        <v/>
      </c>
    </row>
    <row r="231">
      <c r="A231" s="2" t="n">
        <v>230</v>
      </c>
      <c r="B231" t="n">
        <v>7</v>
      </c>
      <c r="C231" t="n">
        <v>1300</v>
      </c>
      <c r="D231" t="n">
        <v>1216</v>
      </c>
      <c r="E231" t="n">
        <v>1296</v>
      </c>
      <c r="F231" t="n">
        <v>1024</v>
      </c>
      <c r="G231" t="n">
        <v>695</v>
      </c>
      <c r="H231" t="n">
        <v>690</v>
      </c>
      <c r="I231" t="n">
        <v>1765</v>
      </c>
      <c r="J231" t="n">
        <v>3502</v>
      </c>
      <c r="K231" t="n">
        <v>2192</v>
      </c>
      <c r="L231" t="n">
        <v>498</v>
      </c>
      <c r="M231" t="n">
        <v>209</v>
      </c>
      <c r="N231" t="n">
        <v>20</v>
      </c>
      <c r="O231" s="6" t="n">
        <v>14407</v>
      </c>
      <c r="P231">
        <f>SUM(C231:H231)</f>
        <v/>
      </c>
      <c r="Q231">
        <f>I231</f>
        <v/>
      </c>
      <c r="R231">
        <f>J231</f>
        <v/>
      </c>
      <c r="S231">
        <f>SUM(K231:N231)</f>
        <v/>
      </c>
      <c r="T231">
        <f>SUM(P231:S231)</f>
        <v/>
      </c>
      <c r="U231" s="3">
        <f>IF(T231=0,"",P231/T231)</f>
        <v/>
      </c>
      <c r="V231" s="3">
        <f>IF(T231=0,"",Q231/T231)</f>
        <v/>
      </c>
      <c r="W231" s="3">
        <f>IF(T231=0,"",R231/T231)</f>
        <v/>
      </c>
      <c r="X231" s="3">
        <f>IF(T231=0,"",S231/T231)</f>
        <v/>
      </c>
      <c r="Y231" s="4">
        <f>IF(T231=0,"",U231*Pesos!$B$2+V231*Pesos!$B$3+W231*Pesos!$B$4+X231*Pesos!$B$5)</f>
        <v/>
      </c>
    </row>
    <row r="232">
      <c r="A232" s="2" t="n">
        <v>231</v>
      </c>
      <c r="B232" t="n">
        <v>8</v>
      </c>
      <c r="C232" t="n">
        <v>556</v>
      </c>
      <c r="D232" t="n">
        <v>542</v>
      </c>
      <c r="E232" t="n">
        <v>607</v>
      </c>
      <c r="F232" t="n">
        <v>570</v>
      </c>
      <c r="G232" t="n">
        <v>396</v>
      </c>
      <c r="H232" t="n">
        <v>274</v>
      </c>
      <c r="I232" t="n">
        <v>1187</v>
      </c>
      <c r="J232" t="n">
        <v>4051</v>
      </c>
      <c r="K232" t="n">
        <v>2763</v>
      </c>
      <c r="L232" t="n">
        <v>853</v>
      </c>
      <c r="M232" t="n">
        <v>79</v>
      </c>
      <c r="N232" t="n">
        <v>16</v>
      </c>
      <c r="O232" s="6" t="n">
        <v>11894</v>
      </c>
      <c r="P232">
        <f>SUM(C232:H232)</f>
        <v/>
      </c>
      <c r="Q232">
        <f>I232</f>
        <v/>
      </c>
      <c r="R232">
        <f>J232</f>
        <v/>
      </c>
      <c r="S232">
        <f>SUM(K232:N232)</f>
        <v/>
      </c>
      <c r="T232">
        <f>SUM(P232:S232)</f>
        <v/>
      </c>
      <c r="U232" s="3">
        <f>IF(T232=0,"",P232/T232)</f>
        <v/>
      </c>
      <c r="V232" s="3">
        <f>IF(T232=0,"",Q232/T232)</f>
        <v/>
      </c>
      <c r="W232" s="3">
        <f>IF(T232=0,"",R232/T232)</f>
        <v/>
      </c>
      <c r="X232" s="3">
        <f>IF(T232=0,"",S232/T232)</f>
        <v/>
      </c>
      <c r="Y232" s="4">
        <f>IF(T232=0,"",U232*Pesos!$B$2+V232*Pesos!$B$3+W232*Pesos!$B$4+X232*Pesos!$B$5)</f>
        <v/>
      </c>
    </row>
    <row r="233">
      <c r="A233" s="2" t="n">
        <v>232</v>
      </c>
      <c r="B233" t="n">
        <v>10</v>
      </c>
      <c r="C233" t="n">
        <v>622</v>
      </c>
      <c r="D233" t="n">
        <v>868</v>
      </c>
      <c r="E233" t="n">
        <v>826</v>
      </c>
      <c r="F233" t="n">
        <v>890</v>
      </c>
      <c r="G233" t="n">
        <v>562</v>
      </c>
      <c r="H233" t="n">
        <v>555</v>
      </c>
      <c r="I233" t="n">
        <v>1716</v>
      </c>
      <c r="J233" t="n">
        <v>2515</v>
      </c>
      <c r="K233" t="n">
        <v>3050</v>
      </c>
      <c r="L233" t="n">
        <v>2333</v>
      </c>
      <c r="M233" t="n">
        <v>147</v>
      </c>
      <c r="N233" t="n">
        <v>23</v>
      </c>
      <c r="O233" s="6" t="n">
        <v>14107</v>
      </c>
      <c r="P233">
        <f>SUM(C233:H233)</f>
        <v/>
      </c>
      <c r="Q233">
        <f>I233</f>
        <v/>
      </c>
      <c r="R233">
        <f>J233</f>
        <v/>
      </c>
      <c r="S233">
        <f>SUM(K233:N233)</f>
        <v/>
      </c>
      <c r="T233">
        <f>SUM(P233:S233)</f>
        <v/>
      </c>
      <c r="U233" s="3">
        <f>IF(T233=0,"",P233/T233)</f>
        <v/>
      </c>
      <c r="V233" s="3">
        <f>IF(T233=0,"",Q233/T233)</f>
        <v/>
      </c>
      <c r="W233" s="3">
        <f>IF(T233=0,"",R233/T233)</f>
        <v/>
      </c>
      <c r="X233" s="3">
        <f>IF(T233=0,"",S233/T233)</f>
        <v/>
      </c>
      <c r="Y233" s="4">
        <f>IF(T233=0,"",U233*Pesos!$B$2+V233*Pesos!$B$3+W233*Pesos!$B$4+X233*Pesos!$B$5)</f>
        <v/>
      </c>
    </row>
    <row r="234">
      <c r="A234" s="2" t="n">
        <v>233</v>
      </c>
      <c r="B234" t="n">
        <v>9</v>
      </c>
      <c r="C234" t="n">
        <v>381</v>
      </c>
      <c r="D234" t="n">
        <v>317</v>
      </c>
      <c r="E234" t="n">
        <v>316</v>
      </c>
      <c r="F234" t="n">
        <v>306</v>
      </c>
      <c r="G234" t="n">
        <v>212</v>
      </c>
      <c r="H234" t="n">
        <v>192</v>
      </c>
      <c r="I234" t="n">
        <v>658</v>
      </c>
      <c r="J234" t="n">
        <v>1121</v>
      </c>
      <c r="K234" t="n">
        <v>1227</v>
      </c>
      <c r="L234" t="n">
        <v>2874</v>
      </c>
      <c r="M234" t="n">
        <v>980</v>
      </c>
      <c r="N234" t="n">
        <v>2</v>
      </c>
      <c r="O234" s="6" t="n">
        <v>8586</v>
      </c>
      <c r="P234">
        <f>SUM(C234:H234)</f>
        <v/>
      </c>
      <c r="Q234">
        <f>I234</f>
        <v/>
      </c>
      <c r="R234">
        <f>J234</f>
        <v/>
      </c>
      <c r="S234">
        <f>SUM(K234:N234)</f>
        <v/>
      </c>
      <c r="T234">
        <f>SUM(P234:S234)</f>
        <v/>
      </c>
      <c r="U234" s="3">
        <f>IF(T234=0,"",P234/T234)</f>
        <v/>
      </c>
      <c r="V234" s="3">
        <f>IF(T234=0,"",Q234/T234)</f>
        <v/>
      </c>
      <c r="W234" s="3">
        <f>IF(T234=0,"",R234/T234)</f>
        <v/>
      </c>
      <c r="X234" s="3">
        <f>IF(T234=0,"",S234/T234)</f>
        <v/>
      </c>
      <c r="Y234" s="4">
        <f>IF(T234=0,"",U234*Pesos!$B$2+V234*Pesos!$B$3+W234*Pesos!$B$4+X234*Pesos!$B$5)</f>
        <v/>
      </c>
    </row>
    <row r="235">
      <c r="A235" s="2" t="n">
        <v>234</v>
      </c>
      <c r="B235" t="n">
        <v>7</v>
      </c>
      <c r="C235" t="n">
        <v>1127</v>
      </c>
      <c r="D235" t="n">
        <v>1279</v>
      </c>
      <c r="E235" t="n">
        <v>1114</v>
      </c>
      <c r="F235" t="n">
        <v>1003</v>
      </c>
      <c r="G235" t="n">
        <v>989</v>
      </c>
      <c r="H235" t="n">
        <v>760</v>
      </c>
      <c r="I235" t="n">
        <v>1371</v>
      </c>
      <c r="J235" t="n">
        <v>3393</v>
      </c>
      <c r="K235" t="n">
        <v>643</v>
      </c>
      <c r="L235" t="n">
        <v>77</v>
      </c>
      <c r="M235" t="n">
        <v>40</v>
      </c>
      <c r="N235" t="n">
        <v>0</v>
      </c>
      <c r="O235" s="6" t="n">
        <v>11796</v>
      </c>
      <c r="P235">
        <f>SUM(C235:H235)</f>
        <v/>
      </c>
      <c r="Q235">
        <f>I235</f>
        <v/>
      </c>
      <c r="R235">
        <f>J235</f>
        <v/>
      </c>
      <c r="S235">
        <f>SUM(K235:N235)</f>
        <v/>
      </c>
      <c r="T235">
        <f>SUM(P235:S235)</f>
        <v/>
      </c>
      <c r="U235" s="3">
        <f>IF(T235=0,"",P235/T235)</f>
        <v/>
      </c>
      <c r="V235" s="3">
        <f>IF(T235=0,"",Q235/T235)</f>
        <v/>
      </c>
      <c r="W235" s="3">
        <f>IF(T235=0,"",R235/T235)</f>
        <v/>
      </c>
      <c r="X235" s="3">
        <f>IF(T235=0,"",S235/T235)</f>
        <v/>
      </c>
      <c r="Y235" s="4">
        <f>IF(T235=0,"",U235*Pesos!$B$2+V235*Pesos!$B$3+W235*Pesos!$B$4+X235*Pesos!$B$5)</f>
        <v/>
      </c>
    </row>
    <row r="236">
      <c r="A236" s="2" t="n">
        <v>235</v>
      </c>
      <c r="B236" t="n">
        <v>12</v>
      </c>
      <c r="C236" t="n">
        <v>359</v>
      </c>
      <c r="D236" t="n">
        <v>351</v>
      </c>
      <c r="E236" t="n">
        <v>526</v>
      </c>
      <c r="F236" t="n">
        <v>315</v>
      </c>
      <c r="G236" t="n">
        <v>469</v>
      </c>
      <c r="H236" t="n">
        <v>425</v>
      </c>
      <c r="I236" t="n">
        <v>1259</v>
      </c>
      <c r="J236" t="n">
        <v>2698</v>
      </c>
      <c r="K236" t="n">
        <v>1574</v>
      </c>
      <c r="L236" t="n">
        <v>1905</v>
      </c>
      <c r="M236" t="n">
        <v>1019</v>
      </c>
      <c r="N236" t="n">
        <v>0</v>
      </c>
      <c r="O236" s="6" t="n">
        <v>10900</v>
      </c>
      <c r="P236">
        <f>SUM(C236:H236)</f>
        <v/>
      </c>
      <c r="Q236">
        <f>I236</f>
        <v/>
      </c>
      <c r="R236">
        <f>J236</f>
        <v/>
      </c>
      <c r="S236">
        <f>SUM(K236:N236)</f>
        <v/>
      </c>
      <c r="T236">
        <f>SUM(P236:S236)</f>
        <v/>
      </c>
      <c r="U236" s="3">
        <f>IF(T236=0,"",P236/T236)</f>
        <v/>
      </c>
      <c r="V236" s="3">
        <f>IF(T236=0,"",Q236/T236)</f>
        <v/>
      </c>
      <c r="W236" s="3">
        <f>IF(T236=0,"",R236/T236)</f>
        <v/>
      </c>
      <c r="X236" s="3">
        <f>IF(T236=0,"",S236/T236)</f>
        <v/>
      </c>
      <c r="Y236" s="4">
        <f>IF(T236=0,"",U236*Pesos!$B$2+V236*Pesos!$B$3+W236*Pesos!$B$4+X236*Pesos!$B$5)</f>
        <v/>
      </c>
    </row>
    <row r="237">
      <c r="A237" s="2" t="n">
        <v>236</v>
      </c>
      <c r="B237" t="n">
        <v>4</v>
      </c>
      <c r="C237" t="n">
        <v>839</v>
      </c>
      <c r="D237" t="n">
        <v>598</v>
      </c>
      <c r="E237" t="n">
        <v>771</v>
      </c>
      <c r="F237" t="n">
        <v>1032</v>
      </c>
      <c r="G237" t="n">
        <v>877</v>
      </c>
      <c r="H237" t="n">
        <v>656</v>
      </c>
      <c r="I237" t="n">
        <v>2876</v>
      </c>
      <c r="J237" t="n">
        <v>647</v>
      </c>
      <c r="K237" t="n">
        <v>218</v>
      </c>
      <c r="L237" t="n">
        <v>185</v>
      </c>
      <c r="M237" t="n">
        <v>44</v>
      </c>
      <c r="N237" t="n">
        <v>11</v>
      </c>
      <c r="O237" s="6" t="n">
        <v>8754</v>
      </c>
      <c r="P237">
        <f>SUM(C237:H237)</f>
        <v/>
      </c>
      <c r="Q237">
        <f>I237</f>
        <v/>
      </c>
      <c r="R237">
        <f>J237</f>
        <v/>
      </c>
      <c r="S237">
        <f>SUM(K237:N237)</f>
        <v/>
      </c>
      <c r="T237">
        <f>SUM(P237:S237)</f>
        <v/>
      </c>
      <c r="U237" s="3">
        <f>IF(T237=0,"",P237/T237)</f>
        <v/>
      </c>
      <c r="V237" s="3">
        <f>IF(T237=0,"",Q237/T237)</f>
        <v/>
      </c>
      <c r="W237" s="3">
        <f>IF(T237=0,"",R237/T237)</f>
        <v/>
      </c>
      <c r="X237" s="3">
        <f>IF(T237=0,"",S237/T237)</f>
        <v/>
      </c>
      <c r="Y237" s="4">
        <f>IF(T237=0,"",U237*Pesos!$B$2+V237*Pesos!$B$3+W237*Pesos!$B$4+X237*Pesos!$B$5)</f>
        <v/>
      </c>
    </row>
    <row r="238">
      <c r="A238" s="2" t="n">
        <v>237</v>
      </c>
      <c r="B238" t="n">
        <v>8</v>
      </c>
      <c r="C238" t="n">
        <v>641</v>
      </c>
      <c r="D238" t="n">
        <v>583</v>
      </c>
      <c r="E238" t="n">
        <v>604</v>
      </c>
      <c r="F238" t="n">
        <v>447</v>
      </c>
      <c r="G238" t="n">
        <v>273</v>
      </c>
      <c r="H238" t="n">
        <v>257</v>
      </c>
      <c r="I238" t="n">
        <v>880</v>
      </c>
      <c r="J238" t="n">
        <v>1227</v>
      </c>
      <c r="K238" t="n">
        <v>2060</v>
      </c>
      <c r="L238" t="n">
        <v>1830</v>
      </c>
      <c r="M238" t="n">
        <v>387</v>
      </c>
      <c r="N238" t="n">
        <v>19</v>
      </c>
      <c r="O238" s="6" t="n">
        <v>9208</v>
      </c>
      <c r="P238">
        <f>SUM(C238:H238)</f>
        <v/>
      </c>
      <c r="Q238">
        <f>I238</f>
        <v/>
      </c>
      <c r="R238">
        <f>J238</f>
        <v/>
      </c>
      <c r="S238">
        <f>SUM(K238:N238)</f>
        <v/>
      </c>
      <c r="T238">
        <f>SUM(P238:S238)</f>
        <v/>
      </c>
      <c r="U238" s="3">
        <f>IF(T238=0,"",P238/T238)</f>
        <v/>
      </c>
      <c r="V238" s="3">
        <f>IF(T238=0,"",Q238/T238)</f>
        <v/>
      </c>
      <c r="W238" s="3">
        <f>IF(T238=0,"",R238/T238)</f>
        <v/>
      </c>
      <c r="X238" s="3">
        <f>IF(T238=0,"",S238/T238)</f>
        <v/>
      </c>
      <c r="Y238" s="4">
        <f>IF(T238=0,"",U238*Pesos!$B$2+V238*Pesos!$B$3+W238*Pesos!$B$4+X238*Pesos!$B$5)</f>
        <v/>
      </c>
    </row>
    <row r="239">
      <c r="A239" s="2" t="n">
        <v>238</v>
      </c>
      <c r="B239" t="n">
        <v>12</v>
      </c>
      <c r="C239" t="n">
        <v>455</v>
      </c>
      <c r="D239" t="n">
        <v>501</v>
      </c>
      <c r="E239" t="n">
        <v>490</v>
      </c>
      <c r="F239" t="n">
        <v>340</v>
      </c>
      <c r="G239" t="n">
        <v>421</v>
      </c>
      <c r="H239" t="n">
        <v>384</v>
      </c>
      <c r="I239" t="n">
        <v>1136</v>
      </c>
      <c r="J239" t="n">
        <v>2243</v>
      </c>
      <c r="K239" t="n">
        <v>2362</v>
      </c>
      <c r="L239" t="n">
        <v>3046</v>
      </c>
      <c r="M239" t="n">
        <v>1419</v>
      </c>
      <c r="N239" t="n">
        <v>4</v>
      </c>
      <c r="O239" s="6" t="n">
        <v>12801</v>
      </c>
      <c r="P239">
        <f>SUM(C239:H239)</f>
        <v/>
      </c>
      <c r="Q239">
        <f>I239</f>
        <v/>
      </c>
      <c r="R239">
        <f>J239</f>
        <v/>
      </c>
      <c r="S239">
        <f>SUM(K239:N239)</f>
        <v/>
      </c>
      <c r="T239">
        <f>SUM(P239:S239)</f>
        <v/>
      </c>
      <c r="U239" s="3">
        <f>IF(T239=0,"",P239/T239)</f>
        <v/>
      </c>
      <c r="V239" s="3">
        <f>IF(T239=0,"",Q239/T239)</f>
        <v/>
      </c>
      <c r="W239" s="3">
        <f>IF(T239=0,"",R239/T239)</f>
        <v/>
      </c>
      <c r="X239" s="3">
        <f>IF(T239=0,"",S239/T239)</f>
        <v/>
      </c>
      <c r="Y239" s="4">
        <f>IF(T239=0,"",U239*Pesos!$B$2+V239*Pesos!$B$3+W239*Pesos!$B$4+X239*Pesos!$B$5)</f>
        <v/>
      </c>
    </row>
    <row r="240">
      <c r="A240" s="2" t="n">
        <v>239</v>
      </c>
      <c r="B240" t="n">
        <v>9</v>
      </c>
      <c r="C240" t="n">
        <v>816</v>
      </c>
      <c r="D240" t="n">
        <v>791</v>
      </c>
      <c r="E240" t="n">
        <v>560</v>
      </c>
      <c r="F240" t="n">
        <v>444</v>
      </c>
      <c r="G240" t="n">
        <v>373</v>
      </c>
      <c r="H240" t="n">
        <v>305</v>
      </c>
      <c r="I240" t="n">
        <v>966</v>
      </c>
      <c r="J240" t="n">
        <v>1354</v>
      </c>
      <c r="K240" t="n">
        <v>1833</v>
      </c>
      <c r="L240" t="n">
        <v>1576</v>
      </c>
      <c r="M240" t="n">
        <v>1139</v>
      </c>
      <c r="N240" t="n">
        <v>83</v>
      </c>
      <c r="O240" s="6" t="n">
        <v>10240</v>
      </c>
      <c r="P240">
        <f>SUM(C240:H240)</f>
        <v/>
      </c>
      <c r="Q240">
        <f>I240</f>
        <v/>
      </c>
      <c r="R240">
        <f>J240</f>
        <v/>
      </c>
      <c r="S240">
        <f>SUM(K240:N240)</f>
        <v/>
      </c>
      <c r="T240">
        <f>SUM(P240:S240)</f>
        <v/>
      </c>
      <c r="U240" s="3">
        <f>IF(T240=0,"",P240/T240)</f>
        <v/>
      </c>
      <c r="V240" s="3">
        <f>IF(T240=0,"",Q240/T240)</f>
        <v/>
      </c>
      <c r="W240" s="3">
        <f>IF(T240=0,"",R240/T240)</f>
        <v/>
      </c>
      <c r="X240" s="3">
        <f>IF(T240=0,"",S240/T240)</f>
        <v/>
      </c>
      <c r="Y240" s="4">
        <f>IF(T240=0,"",U240*Pesos!$B$2+V240*Pesos!$B$3+W240*Pesos!$B$4+X240*Pesos!$B$5)</f>
        <v/>
      </c>
    </row>
    <row r="241">
      <c r="A241" s="2" t="n">
        <v>240</v>
      </c>
      <c r="B241" t="n">
        <v>9</v>
      </c>
      <c r="C241" t="n">
        <v>430</v>
      </c>
      <c r="D241" t="n">
        <v>469</v>
      </c>
      <c r="E241" t="n">
        <v>378</v>
      </c>
      <c r="F241" t="n">
        <v>358</v>
      </c>
      <c r="G241" t="n">
        <v>369</v>
      </c>
      <c r="H241" t="n">
        <v>198</v>
      </c>
      <c r="I241" t="n">
        <v>823</v>
      </c>
      <c r="J241" t="n">
        <v>1572</v>
      </c>
      <c r="K241" t="n">
        <v>1948</v>
      </c>
      <c r="L241" t="n">
        <v>2045</v>
      </c>
      <c r="M241" t="n">
        <v>1178</v>
      </c>
      <c r="N241" t="n">
        <v>3</v>
      </c>
      <c r="O241" s="6" t="n">
        <v>9771</v>
      </c>
      <c r="P241">
        <f>SUM(C241:H241)</f>
        <v/>
      </c>
      <c r="Q241">
        <f>I241</f>
        <v/>
      </c>
      <c r="R241">
        <f>J241</f>
        <v/>
      </c>
      <c r="S241">
        <f>SUM(K241:N241)</f>
        <v/>
      </c>
      <c r="T241">
        <f>SUM(P241:S241)</f>
        <v/>
      </c>
      <c r="U241" s="3">
        <f>IF(T241=0,"",P241/T241)</f>
        <v/>
      </c>
      <c r="V241" s="3">
        <f>IF(T241=0,"",Q241/T241)</f>
        <v/>
      </c>
      <c r="W241" s="3">
        <f>IF(T241=0,"",R241/T241)</f>
        <v/>
      </c>
      <c r="X241" s="3">
        <f>IF(T241=0,"",S241/T241)</f>
        <v/>
      </c>
      <c r="Y241" s="4">
        <f>IF(T241=0,"",U241*Pesos!$B$2+V241*Pesos!$B$3+W241*Pesos!$B$4+X241*Pesos!$B$5)</f>
        <v/>
      </c>
    </row>
    <row r="242">
      <c r="A242" s="2" t="n">
        <v>241</v>
      </c>
      <c r="B242" t="n">
        <v>10</v>
      </c>
      <c r="C242" t="n">
        <v>721</v>
      </c>
      <c r="D242" t="n">
        <v>881</v>
      </c>
      <c r="E242" t="n">
        <v>664</v>
      </c>
      <c r="F242" t="n">
        <v>473</v>
      </c>
      <c r="G242" t="n">
        <v>425</v>
      </c>
      <c r="H242" t="n">
        <v>313</v>
      </c>
      <c r="I242" t="n">
        <v>985</v>
      </c>
      <c r="J242" t="n">
        <v>1636</v>
      </c>
      <c r="K242" t="n">
        <v>1984</v>
      </c>
      <c r="L242" t="n">
        <v>1918</v>
      </c>
      <c r="M242" t="n">
        <v>791</v>
      </c>
      <c r="N242" t="n">
        <v>6</v>
      </c>
      <c r="O242" s="6" t="n">
        <v>10797</v>
      </c>
      <c r="P242">
        <f>SUM(C242:H242)</f>
        <v/>
      </c>
      <c r="Q242">
        <f>I242</f>
        <v/>
      </c>
      <c r="R242">
        <f>J242</f>
        <v/>
      </c>
      <c r="S242">
        <f>SUM(K242:N242)</f>
        <v/>
      </c>
      <c r="T242">
        <f>SUM(P242:S242)</f>
        <v/>
      </c>
      <c r="U242" s="3">
        <f>IF(T242=0,"",P242/T242)</f>
        <v/>
      </c>
      <c r="V242" s="3">
        <f>IF(T242=0,"",Q242/T242)</f>
        <v/>
      </c>
      <c r="W242" s="3">
        <f>IF(T242=0,"",R242/T242)</f>
        <v/>
      </c>
      <c r="X242" s="3">
        <f>IF(T242=0,"",S242/T242)</f>
        <v/>
      </c>
      <c r="Y242" s="4">
        <f>IF(T242=0,"",U242*Pesos!$B$2+V242*Pesos!$B$3+W242*Pesos!$B$4+X242*Pesos!$B$5)</f>
        <v/>
      </c>
    </row>
    <row r="243">
      <c r="A243" s="2" t="n">
        <v>242</v>
      </c>
      <c r="B243" t="n">
        <v>8</v>
      </c>
      <c r="C243" t="n">
        <v>524</v>
      </c>
      <c r="D243" t="n">
        <v>575</v>
      </c>
      <c r="E243" t="n">
        <v>710</v>
      </c>
      <c r="F243" t="n">
        <v>433</v>
      </c>
      <c r="G243" t="n">
        <v>299</v>
      </c>
      <c r="H243" t="n">
        <v>194</v>
      </c>
      <c r="I243" t="n">
        <v>767</v>
      </c>
      <c r="J243" t="n">
        <v>1217</v>
      </c>
      <c r="K243" t="n">
        <v>2159</v>
      </c>
      <c r="L243" t="n">
        <v>2314</v>
      </c>
      <c r="M243" t="n">
        <v>405</v>
      </c>
      <c r="N243" t="n">
        <v>7</v>
      </c>
      <c r="O243" s="6" t="n">
        <v>9604</v>
      </c>
      <c r="P243">
        <f>SUM(C243:H243)</f>
        <v/>
      </c>
      <c r="Q243">
        <f>I243</f>
        <v/>
      </c>
      <c r="R243">
        <f>J243</f>
        <v/>
      </c>
      <c r="S243">
        <f>SUM(K243:N243)</f>
        <v/>
      </c>
      <c r="T243">
        <f>SUM(P243:S243)</f>
        <v/>
      </c>
      <c r="U243" s="3">
        <f>IF(T243=0,"",P243/T243)</f>
        <v/>
      </c>
      <c r="V243" s="3">
        <f>IF(T243=0,"",Q243/T243)</f>
        <v/>
      </c>
      <c r="W243" s="3">
        <f>IF(T243=0,"",R243/T243)</f>
        <v/>
      </c>
      <c r="X243" s="3">
        <f>IF(T243=0,"",S243/T243)</f>
        <v/>
      </c>
      <c r="Y243" s="4">
        <f>IF(T243=0,"",U243*Pesos!$B$2+V243*Pesos!$B$3+W243*Pesos!$B$4+X243*Pesos!$B$5)</f>
        <v/>
      </c>
    </row>
    <row r="244">
      <c r="A244" s="2" t="n">
        <v>243</v>
      </c>
      <c r="B244" t="n">
        <v>7</v>
      </c>
      <c r="C244" t="n">
        <v>428</v>
      </c>
      <c r="D244" t="n">
        <v>492</v>
      </c>
      <c r="E244" t="n">
        <v>294</v>
      </c>
      <c r="F244" t="n">
        <v>236</v>
      </c>
      <c r="G244" t="n">
        <v>206</v>
      </c>
      <c r="H244" t="n">
        <v>186</v>
      </c>
      <c r="I244" t="n">
        <v>846</v>
      </c>
      <c r="J244" t="n">
        <v>1870</v>
      </c>
      <c r="K244" t="n">
        <v>2581</v>
      </c>
      <c r="L244" t="n">
        <v>1165</v>
      </c>
      <c r="M244" t="n">
        <v>26</v>
      </c>
      <c r="N244" t="n">
        <v>6</v>
      </c>
      <c r="O244" s="6" t="n">
        <v>8336</v>
      </c>
      <c r="P244">
        <f>SUM(C244:H244)</f>
        <v/>
      </c>
      <c r="Q244">
        <f>I244</f>
        <v/>
      </c>
      <c r="R244">
        <f>J244</f>
        <v/>
      </c>
      <c r="S244">
        <f>SUM(K244:N244)</f>
        <v/>
      </c>
      <c r="T244">
        <f>SUM(P244:S244)</f>
        <v/>
      </c>
      <c r="U244" s="3">
        <f>IF(T244=0,"",P244/T244)</f>
        <v/>
      </c>
      <c r="V244" s="3">
        <f>IF(T244=0,"",Q244/T244)</f>
        <v/>
      </c>
      <c r="W244" s="3">
        <f>IF(T244=0,"",R244/T244)</f>
        <v/>
      </c>
      <c r="X244" s="3">
        <f>IF(T244=0,"",S244/T244)</f>
        <v/>
      </c>
      <c r="Y244" s="4">
        <f>IF(T244=0,"",U244*Pesos!$B$2+V244*Pesos!$B$3+W244*Pesos!$B$4+X244*Pesos!$B$5)</f>
        <v/>
      </c>
    </row>
    <row r="245">
      <c r="A245" s="2" t="n">
        <v>244</v>
      </c>
      <c r="B245" t="n">
        <v>11</v>
      </c>
      <c r="C245" t="n">
        <v>542</v>
      </c>
      <c r="D245" t="n">
        <v>470</v>
      </c>
      <c r="E245" t="n">
        <v>544</v>
      </c>
      <c r="F245" t="n">
        <v>389</v>
      </c>
      <c r="G245" t="n">
        <v>330</v>
      </c>
      <c r="H245" t="n">
        <v>229</v>
      </c>
      <c r="I245" t="n">
        <v>903</v>
      </c>
      <c r="J245" t="n">
        <v>2626</v>
      </c>
      <c r="K245" t="n">
        <v>3714</v>
      </c>
      <c r="L245" t="n">
        <v>2168</v>
      </c>
      <c r="M245" t="n">
        <v>51</v>
      </c>
      <c r="N245" t="n">
        <v>0</v>
      </c>
      <c r="O245" s="6" t="n">
        <v>11966</v>
      </c>
      <c r="P245">
        <f>SUM(C245:H245)</f>
        <v/>
      </c>
      <c r="Q245">
        <f>I245</f>
        <v/>
      </c>
      <c r="R245">
        <f>J245</f>
        <v/>
      </c>
      <c r="S245">
        <f>SUM(K245:N245)</f>
        <v/>
      </c>
      <c r="T245">
        <f>SUM(P245:S245)</f>
        <v/>
      </c>
      <c r="U245" s="3">
        <f>IF(T245=0,"",P245/T245)</f>
        <v/>
      </c>
      <c r="V245" s="3">
        <f>IF(T245=0,"",Q245/T245)</f>
        <v/>
      </c>
      <c r="W245" s="3">
        <f>IF(T245=0,"",R245/T245)</f>
        <v/>
      </c>
      <c r="X245" s="3">
        <f>IF(T245=0,"",S245/T245)</f>
        <v/>
      </c>
      <c r="Y245" s="4">
        <f>IF(T245=0,"",U245*Pesos!$B$2+V245*Pesos!$B$3+W245*Pesos!$B$4+X245*Pesos!$B$5)</f>
        <v/>
      </c>
    </row>
    <row r="246">
      <c r="A246" s="2" t="n">
        <v>245</v>
      </c>
      <c r="B246" t="n">
        <v>8</v>
      </c>
      <c r="C246" t="n">
        <v>411</v>
      </c>
      <c r="D246" t="n">
        <v>409</v>
      </c>
      <c r="E246" t="n">
        <v>403</v>
      </c>
      <c r="F246" t="n">
        <v>300</v>
      </c>
      <c r="G246" t="n">
        <v>254</v>
      </c>
      <c r="H246" t="n">
        <v>203</v>
      </c>
      <c r="I246" t="n">
        <v>730</v>
      </c>
      <c r="J246" t="n">
        <v>1209</v>
      </c>
      <c r="K246" t="n">
        <v>1573</v>
      </c>
      <c r="L246" t="n">
        <v>2623</v>
      </c>
      <c r="M246" t="n">
        <v>595</v>
      </c>
      <c r="N246" t="n">
        <v>0</v>
      </c>
      <c r="O246" s="6" t="n">
        <v>8710</v>
      </c>
      <c r="P246">
        <f>SUM(C246:H246)</f>
        <v/>
      </c>
      <c r="Q246">
        <f>I246</f>
        <v/>
      </c>
      <c r="R246">
        <f>J246</f>
        <v/>
      </c>
      <c r="S246">
        <f>SUM(K246:N246)</f>
        <v/>
      </c>
      <c r="T246">
        <f>SUM(P246:S246)</f>
        <v/>
      </c>
      <c r="U246" s="3">
        <f>IF(T246=0,"",P246/T246)</f>
        <v/>
      </c>
      <c r="V246" s="3">
        <f>IF(T246=0,"",Q246/T246)</f>
        <v/>
      </c>
      <c r="W246" s="3">
        <f>IF(T246=0,"",R246/T246)</f>
        <v/>
      </c>
      <c r="X246" s="3">
        <f>IF(T246=0,"",S246/T246)</f>
        <v/>
      </c>
      <c r="Y246" s="4">
        <f>IF(T246=0,"",U246*Pesos!$B$2+V246*Pesos!$B$3+W246*Pesos!$B$4+X246*Pesos!$B$5)</f>
        <v/>
      </c>
    </row>
    <row r="247">
      <c r="A247" s="2" t="n">
        <v>246</v>
      </c>
      <c r="B247" t="n">
        <v>10</v>
      </c>
      <c r="C247" t="n">
        <v>525</v>
      </c>
      <c r="D247" t="n">
        <v>579</v>
      </c>
      <c r="E247" t="n">
        <v>536</v>
      </c>
      <c r="F247" t="n">
        <v>411</v>
      </c>
      <c r="G247" t="n">
        <v>273</v>
      </c>
      <c r="H247" t="n">
        <v>248</v>
      </c>
      <c r="I247" t="n">
        <v>848</v>
      </c>
      <c r="J247" t="n">
        <v>1904</v>
      </c>
      <c r="K247" t="n">
        <v>3462</v>
      </c>
      <c r="L247" t="n">
        <v>2190</v>
      </c>
      <c r="M247" t="n">
        <v>0</v>
      </c>
      <c r="N247" t="n">
        <v>0</v>
      </c>
      <c r="O247" s="6" t="n">
        <v>10976</v>
      </c>
      <c r="P247">
        <f>SUM(C247:H247)</f>
        <v/>
      </c>
      <c r="Q247">
        <f>I247</f>
        <v/>
      </c>
      <c r="R247">
        <f>J247</f>
        <v/>
      </c>
      <c r="S247">
        <f>SUM(K247:N247)</f>
        <v/>
      </c>
      <c r="T247">
        <f>SUM(P247:S247)</f>
        <v/>
      </c>
      <c r="U247" s="3">
        <f>IF(T247=0,"",P247/T247)</f>
        <v/>
      </c>
      <c r="V247" s="3">
        <f>IF(T247=0,"",Q247/T247)</f>
        <v/>
      </c>
      <c r="W247" s="3">
        <f>IF(T247=0,"",R247/T247)</f>
        <v/>
      </c>
      <c r="X247" s="3">
        <f>IF(T247=0,"",S247/T247)</f>
        <v/>
      </c>
      <c r="Y247" s="4">
        <f>IF(T247=0,"",U247*Pesos!$B$2+V247*Pesos!$B$3+W247*Pesos!$B$4+X247*Pesos!$B$5)</f>
        <v/>
      </c>
    </row>
    <row r="248">
      <c r="A248" s="2" t="n">
        <v>247</v>
      </c>
      <c r="B248" t="n">
        <v>8</v>
      </c>
      <c r="C248" t="n">
        <v>394</v>
      </c>
      <c r="D248" t="n">
        <v>491</v>
      </c>
      <c r="E248" t="n">
        <v>433</v>
      </c>
      <c r="F248" t="n">
        <v>332</v>
      </c>
      <c r="G248" t="n">
        <v>274</v>
      </c>
      <c r="H248" t="n">
        <v>190</v>
      </c>
      <c r="I248" t="n">
        <v>640</v>
      </c>
      <c r="J248" t="n">
        <v>1204</v>
      </c>
      <c r="K248" t="n">
        <v>2688</v>
      </c>
      <c r="L248" t="n">
        <v>2434</v>
      </c>
      <c r="M248" t="n">
        <v>0</v>
      </c>
      <c r="N248" t="n">
        <v>0</v>
      </c>
      <c r="O248" s="6" t="n">
        <v>9080</v>
      </c>
      <c r="P248">
        <f>SUM(C248:H248)</f>
        <v/>
      </c>
      <c r="Q248">
        <f>I248</f>
        <v/>
      </c>
      <c r="R248">
        <f>J248</f>
        <v/>
      </c>
      <c r="S248">
        <f>SUM(K248:N248)</f>
        <v/>
      </c>
      <c r="T248">
        <f>SUM(P248:S248)</f>
        <v/>
      </c>
      <c r="U248" s="3">
        <f>IF(T248=0,"",P248/T248)</f>
        <v/>
      </c>
      <c r="V248" s="3">
        <f>IF(T248=0,"",Q248/T248)</f>
        <v/>
      </c>
      <c r="W248" s="3">
        <f>IF(T248=0,"",R248/T248)</f>
        <v/>
      </c>
      <c r="X248" s="3">
        <f>IF(T248=0,"",S248/T248)</f>
        <v/>
      </c>
      <c r="Y248" s="4">
        <f>IF(T248=0,"",U248*Pesos!$B$2+V248*Pesos!$B$3+W248*Pesos!$B$4+X248*Pesos!$B$5)</f>
        <v/>
      </c>
    </row>
    <row r="249">
      <c r="A249" s="2" t="n">
        <v>248</v>
      </c>
      <c r="B249" t="n">
        <v>9</v>
      </c>
      <c r="C249" t="n">
        <v>388</v>
      </c>
      <c r="D249" t="n">
        <v>330</v>
      </c>
      <c r="E249" t="n">
        <v>418</v>
      </c>
      <c r="F249" t="n">
        <v>448</v>
      </c>
      <c r="G249" t="n">
        <v>260</v>
      </c>
      <c r="H249" t="n">
        <v>156</v>
      </c>
      <c r="I249" t="n">
        <v>1023</v>
      </c>
      <c r="J249" t="n">
        <v>3551</v>
      </c>
      <c r="K249" t="n">
        <v>5043</v>
      </c>
      <c r="L249" t="n">
        <v>340</v>
      </c>
      <c r="M249" t="n">
        <v>0</v>
      </c>
      <c r="N249" t="n">
        <v>0</v>
      </c>
      <c r="O249" s="6" t="n">
        <v>11957</v>
      </c>
      <c r="P249">
        <f>SUM(C249:H249)</f>
        <v/>
      </c>
      <c r="Q249">
        <f>I249</f>
        <v/>
      </c>
      <c r="R249">
        <f>J249</f>
        <v/>
      </c>
      <c r="S249">
        <f>SUM(K249:N249)</f>
        <v/>
      </c>
      <c r="T249">
        <f>SUM(P249:S249)</f>
        <v/>
      </c>
      <c r="U249" s="3">
        <f>IF(T249=0,"",P249/T249)</f>
        <v/>
      </c>
      <c r="V249" s="3">
        <f>IF(T249=0,"",Q249/T249)</f>
        <v/>
      </c>
      <c r="W249" s="3">
        <f>IF(T249=0,"",R249/T249)</f>
        <v/>
      </c>
      <c r="X249" s="3">
        <f>IF(T249=0,"",S249/T249)</f>
        <v/>
      </c>
      <c r="Y249" s="4">
        <f>IF(T249=0,"",U249*Pesos!$B$2+V249*Pesos!$B$3+W249*Pesos!$B$4+X249*Pesos!$B$5)</f>
        <v/>
      </c>
    </row>
    <row r="250">
      <c r="A250" s="2" t="n">
        <v>249</v>
      </c>
      <c r="B250" t="n">
        <v>10</v>
      </c>
      <c r="C250" t="n">
        <v>655</v>
      </c>
      <c r="D250" t="n">
        <v>441</v>
      </c>
      <c r="E250" t="n">
        <v>590</v>
      </c>
      <c r="F250" t="n">
        <v>375</v>
      </c>
      <c r="G250" t="n">
        <v>335</v>
      </c>
      <c r="H250" t="n">
        <v>267</v>
      </c>
      <c r="I250" t="n">
        <v>869</v>
      </c>
      <c r="J250" t="n">
        <v>2467</v>
      </c>
      <c r="K250" t="n">
        <v>3368</v>
      </c>
      <c r="L250" t="n">
        <v>2595</v>
      </c>
      <c r="M250" t="n">
        <v>12</v>
      </c>
      <c r="N250" t="n">
        <v>0</v>
      </c>
      <c r="O250" s="6" t="n">
        <v>11974</v>
      </c>
      <c r="P250">
        <f>SUM(C250:H250)</f>
        <v/>
      </c>
      <c r="Q250">
        <f>I250</f>
        <v/>
      </c>
      <c r="R250">
        <f>J250</f>
        <v/>
      </c>
      <c r="S250">
        <f>SUM(K250:N250)</f>
        <v/>
      </c>
      <c r="T250">
        <f>SUM(P250:S250)</f>
        <v/>
      </c>
      <c r="U250" s="3">
        <f>IF(T250=0,"",P250/T250)</f>
        <v/>
      </c>
      <c r="V250" s="3">
        <f>IF(T250=0,"",Q250/T250)</f>
        <v/>
      </c>
      <c r="W250" s="3">
        <f>IF(T250=0,"",R250/T250)</f>
        <v/>
      </c>
      <c r="X250" s="3">
        <f>IF(T250=0,"",S250/T250)</f>
        <v/>
      </c>
      <c r="Y250" s="4">
        <f>IF(T250=0,"",U250*Pesos!$B$2+V250*Pesos!$B$3+W250*Pesos!$B$4+X250*Pesos!$B$5)</f>
        <v/>
      </c>
    </row>
    <row r="251">
      <c r="A251" s="2" t="n">
        <v>250</v>
      </c>
      <c r="B251" t="n">
        <v>7</v>
      </c>
      <c r="C251" t="n">
        <v>437</v>
      </c>
      <c r="D251" t="n">
        <v>480</v>
      </c>
      <c r="E251" t="n">
        <v>396</v>
      </c>
      <c r="F251" t="n">
        <v>385</v>
      </c>
      <c r="G251" t="n">
        <v>226</v>
      </c>
      <c r="H251" t="n">
        <v>190</v>
      </c>
      <c r="I251" t="n">
        <v>621</v>
      </c>
      <c r="J251" t="n">
        <v>1245</v>
      </c>
      <c r="K251" t="n">
        <v>2817</v>
      </c>
      <c r="L251" t="n">
        <v>2200</v>
      </c>
      <c r="M251" t="n">
        <v>0</v>
      </c>
      <c r="N251" t="n">
        <v>0</v>
      </c>
      <c r="O251" s="6" t="n">
        <v>8997</v>
      </c>
      <c r="P251">
        <f>SUM(C251:H251)</f>
        <v/>
      </c>
      <c r="Q251">
        <f>I251</f>
        <v/>
      </c>
      <c r="R251">
        <f>J251</f>
        <v/>
      </c>
      <c r="S251">
        <f>SUM(K251:N251)</f>
        <v/>
      </c>
      <c r="T251">
        <f>SUM(P251:S251)</f>
        <v/>
      </c>
      <c r="U251" s="3">
        <f>IF(T251=0,"",P251/T251)</f>
        <v/>
      </c>
      <c r="V251" s="3">
        <f>IF(T251=0,"",Q251/T251)</f>
        <v/>
      </c>
      <c r="W251" s="3">
        <f>IF(T251=0,"",R251/T251)</f>
        <v/>
      </c>
      <c r="X251" s="3">
        <f>IF(T251=0,"",S251/T251)</f>
        <v/>
      </c>
      <c r="Y251" s="4">
        <f>IF(T251=0,"",U251*Pesos!$B$2+V251*Pesos!$B$3+W251*Pesos!$B$4+X251*Pesos!$B$5)</f>
        <v/>
      </c>
    </row>
    <row r="252">
      <c r="A252" s="2" t="n">
        <v>251</v>
      </c>
      <c r="B252" t="n">
        <v>8</v>
      </c>
      <c r="C252" t="n">
        <v>520</v>
      </c>
      <c r="D252" t="n">
        <v>471</v>
      </c>
      <c r="E252" t="n">
        <v>431</v>
      </c>
      <c r="F252" t="n">
        <v>439</v>
      </c>
      <c r="G252" t="n">
        <v>361</v>
      </c>
      <c r="H252" t="n">
        <v>251</v>
      </c>
      <c r="I252" t="n">
        <v>731</v>
      </c>
      <c r="J252" t="n">
        <v>1502</v>
      </c>
      <c r="K252" t="n">
        <v>3625</v>
      </c>
      <c r="L252" t="n">
        <v>1547</v>
      </c>
      <c r="M252" t="n">
        <v>43</v>
      </c>
      <c r="N252" t="n">
        <v>3</v>
      </c>
      <c r="O252" s="6" t="n">
        <v>9924</v>
      </c>
      <c r="P252">
        <f>SUM(C252:H252)</f>
        <v/>
      </c>
      <c r="Q252">
        <f>I252</f>
        <v/>
      </c>
      <c r="R252">
        <f>J252</f>
        <v/>
      </c>
      <c r="S252">
        <f>SUM(K252:N252)</f>
        <v/>
      </c>
      <c r="T252">
        <f>SUM(P252:S252)</f>
        <v/>
      </c>
      <c r="U252" s="3">
        <f>IF(T252=0,"",P252/T252)</f>
        <v/>
      </c>
      <c r="V252" s="3">
        <f>IF(T252=0,"",Q252/T252)</f>
        <v/>
      </c>
      <c r="W252" s="3">
        <f>IF(T252=0,"",R252/T252)</f>
        <v/>
      </c>
      <c r="X252" s="3">
        <f>IF(T252=0,"",S252/T252)</f>
        <v/>
      </c>
      <c r="Y252" s="4">
        <f>IF(T252=0,"",U252*Pesos!$B$2+V252*Pesos!$B$3+W252*Pesos!$B$4+X252*Pesos!$B$5)</f>
        <v/>
      </c>
    </row>
    <row r="253">
      <c r="A253" s="2" t="n">
        <v>252</v>
      </c>
      <c r="B253" t="n">
        <v>8</v>
      </c>
      <c r="C253" t="n">
        <v>554</v>
      </c>
      <c r="D253" t="n">
        <v>683</v>
      </c>
      <c r="E253" t="n">
        <v>610</v>
      </c>
      <c r="F253" t="n">
        <v>435</v>
      </c>
      <c r="G253" t="n">
        <v>375</v>
      </c>
      <c r="H253" t="n">
        <v>253</v>
      </c>
      <c r="I253" t="n">
        <v>885</v>
      </c>
      <c r="J253" t="n">
        <v>1969</v>
      </c>
      <c r="K253" t="n">
        <v>2078</v>
      </c>
      <c r="L253" t="n">
        <v>3112</v>
      </c>
      <c r="M253" t="n">
        <v>135</v>
      </c>
      <c r="N253" t="n">
        <v>1</v>
      </c>
      <c r="O253" s="6" t="n">
        <v>11090</v>
      </c>
      <c r="P253">
        <f>SUM(C253:H253)</f>
        <v/>
      </c>
      <c r="Q253">
        <f>I253</f>
        <v/>
      </c>
      <c r="R253">
        <f>J253</f>
        <v/>
      </c>
      <c r="S253">
        <f>SUM(K253:N253)</f>
        <v/>
      </c>
      <c r="T253">
        <f>SUM(P253:S253)</f>
        <v/>
      </c>
      <c r="U253" s="3">
        <f>IF(T253=0,"",P253/T253)</f>
        <v/>
      </c>
      <c r="V253" s="3">
        <f>IF(T253=0,"",Q253/T253)</f>
        <v/>
      </c>
      <c r="W253" s="3">
        <f>IF(T253=0,"",R253/T253)</f>
        <v/>
      </c>
      <c r="X253" s="3">
        <f>IF(T253=0,"",S253/T253)</f>
        <v/>
      </c>
      <c r="Y253" s="4">
        <f>IF(T253=0,"",U253*Pesos!$B$2+V253*Pesos!$B$3+W253*Pesos!$B$4+X253*Pesos!$B$5)</f>
        <v/>
      </c>
    </row>
    <row r="254">
      <c r="A254" s="2" t="n">
        <v>253</v>
      </c>
      <c r="B254" t="n">
        <v>7</v>
      </c>
      <c r="C254" t="n">
        <v>310</v>
      </c>
      <c r="D254" t="n">
        <v>236</v>
      </c>
      <c r="E254" t="n">
        <v>362</v>
      </c>
      <c r="F254" t="n">
        <v>241</v>
      </c>
      <c r="G254" t="n">
        <v>296</v>
      </c>
      <c r="H254" t="n">
        <v>250</v>
      </c>
      <c r="I254" t="n">
        <v>645</v>
      </c>
      <c r="J254" t="n">
        <v>4912</v>
      </c>
      <c r="K254" t="n">
        <v>1064</v>
      </c>
      <c r="L254" t="n">
        <v>510</v>
      </c>
      <c r="M254" t="n">
        <v>64</v>
      </c>
      <c r="N254" t="n">
        <v>2</v>
      </c>
      <c r="O254" s="6" t="n">
        <v>8892</v>
      </c>
      <c r="P254">
        <f>SUM(C254:H254)</f>
        <v/>
      </c>
      <c r="Q254">
        <f>I254</f>
        <v/>
      </c>
      <c r="R254">
        <f>J254</f>
        <v/>
      </c>
      <c r="S254">
        <f>SUM(K254:N254)</f>
        <v/>
      </c>
      <c r="T254">
        <f>SUM(P254:S254)</f>
        <v/>
      </c>
      <c r="U254" s="3">
        <f>IF(T254=0,"",P254/T254)</f>
        <v/>
      </c>
      <c r="V254" s="3">
        <f>IF(T254=0,"",Q254/T254)</f>
        <v/>
      </c>
      <c r="W254" s="3">
        <f>IF(T254=0,"",R254/T254)</f>
        <v/>
      </c>
      <c r="X254" s="3">
        <f>IF(T254=0,"",S254/T254)</f>
        <v/>
      </c>
      <c r="Y254" s="4">
        <f>IF(T254=0,"",U254*Pesos!$B$2+V254*Pesos!$B$3+W254*Pesos!$B$4+X254*Pesos!$B$5)</f>
        <v/>
      </c>
    </row>
    <row r="255">
      <c r="A255" s="2" t="n">
        <v>254</v>
      </c>
      <c r="B255" t="n">
        <v>9</v>
      </c>
      <c r="C255" t="n">
        <v>715</v>
      </c>
      <c r="D255" t="n">
        <v>773</v>
      </c>
      <c r="E255" t="n">
        <v>943</v>
      </c>
      <c r="F255" t="n">
        <v>439</v>
      </c>
      <c r="G255" t="n">
        <v>694</v>
      </c>
      <c r="H255" t="n">
        <v>831</v>
      </c>
      <c r="I255" t="n">
        <v>1925</v>
      </c>
      <c r="J255" t="n">
        <v>1240</v>
      </c>
      <c r="K255" t="n">
        <v>2094</v>
      </c>
      <c r="L255" t="n">
        <v>2860</v>
      </c>
      <c r="M255" t="n">
        <v>26</v>
      </c>
      <c r="N255" t="n">
        <v>0</v>
      </c>
      <c r="O255" s="6" t="n">
        <v>12540</v>
      </c>
      <c r="P255">
        <f>SUM(C255:H255)</f>
        <v/>
      </c>
      <c r="Q255">
        <f>I255</f>
        <v/>
      </c>
      <c r="R255">
        <f>J255</f>
        <v/>
      </c>
      <c r="S255">
        <f>SUM(K255:N255)</f>
        <v/>
      </c>
      <c r="T255">
        <f>SUM(P255:S255)</f>
        <v/>
      </c>
      <c r="U255" s="3">
        <f>IF(T255=0,"",P255/T255)</f>
        <v/>
      </c>
      <c r="V255" s="3">
        <f>IF(T255=0,"",Q255/T255)</f>
        <v/>
      </c>
      <c r="W255" s="3">
        <f>IF(T255=0,"",R255/T255)</f>
        <v/>
      </c>
      <c r="X255" s="3">
        <f>IF(T255=0,"",S255/T255)</f>
        <v/>
      </c>
      <c r="Y255" s="4">
        <f>IF(T255=0,"",U255*Pesos!$B$2+V255*Pesos!$B$3+W255*Pesos!$B$4+X255*Pesos!$B$5)</f>
        <v/>
      </c>
    </row>
    <row r="256">
      <c r="A256" s="2" t="n">
        <v>255</v>
      </c>
      <c r="B256" t="n">
        <v>8</v>
      </c>
      <c r="C256" t="n">
        <v>371</v>
      </c>
      <c r="D256" t="n">
        <v>315</v>
      </c>
      <c r="E256" t="n">
        <v>418</v>
      </c>
      <c r="F256" t="n">
        <v>306</v>
      </c>
      <c r="G256" t="n">
        <v>286</v>
      </c>
      <c r="H256" t="n">
        <v>188</v>
      </c>
      <c r="I256" t="n">
        <v>870</v>
      </c>
      <c r="J256" t="n">
        <v>1811</v>
      </c>
      <c r="K256" t="n">
        <v>3421</v>
      </c>
      <c r="L256" t="n">
        <v>2385</v>
      </c>
      <c r="M256" t="n">
        <v>0</v>
      </c>
      <c r="N256" t="n">
        <v>0</v>
      </c>
      <c r="O256" s="6" t="n">
        <v>10371</v>
      </c>
      <c r="P256">
        <f>SUM(C256:H256)</f>
        <v/>
      </c>
      <c r="Q256">
        <f>I256</f>
        <v/>
      </c>
      <c r="R256">
        <f>J256</f>
        <v/>
      </c>
      <c r="S256">
        <f>SUM(K256:N256)</f>
        <v/>
      </c>
      <c r="T256">
        <f>SUM(P256:S256)</f>
        <v/>
      </c>
      <c r="U256" s="3">
        <f>IF(T256=0,"",P256/T256)</f>
        <v/>
      </c>
      <c r="V256" s="3">
        <f>IF(T256=0,"",Q256/T256)</f>
        <v/>
      </c>
      <c r="W256" s="3">
        <f>IF(T256=0,"",R256/T256)</f>
        <v/>
      </c>
      <c r="X256" s="3">
        <f>IF(T256=0,"",S256/T256)</f>
        <v/>
      </c>
      <c r="Y256" s="4">
        <f>IF(T256=0,"",U256*Pesos!$B$2+V256*Pesos!$B$3+W256*Pesos!$B$4+X256*Pesos!$B$5)</f>
        <v/>
      </c>
    </row>
    <row r="257">
      <c r="A257" s="2" t="n">
        <v>256</v>
      </c>
      <c r="B257" t="n">
        <v>9</v>
      </c>
      <c r="C257" t="n">
        <v>363</v>
      </c>
      <c r="D257" t="n">
        <v>398</v>
      </c>
      <c r="E257" t="n">
        <v>370</v>
      </c>
      <c r="F257" t="n">
        <v>247</v>
      </c>
      <c r="G257" t="n">
        <v>246</v>
      </c>
      <c r="H257" t="n">
        <v>212</v>
      </c>
      <c r="I257" t="n">
        <v>926</v>
      </c>
      <c r="J257" t="n">
        <v>1323</v>
      </c>
      <c r="K257" t="n">
        <v>3689</v>
      </c>
      <c r="L257" t="n">
        <v>2259</v>
      </c>
      <c r="M257" t="n">
        <v>0</v>
      </c>
      <c r="N257" t="n">
        <v>0</v>
      </c>
      <c r="O257" s="6" t="n">
        <v>10033</v>
      </c>
      <c r="P257">
        <f>SUM(C257:H257)</f>
        <v/>
      </c>
      <c r="Q257">
        <f>I257</f>
        <v/>
      </c>
      <c r="R257">
        <f>J257</f>
        <v/>
      </c>
      <c r="S257">
        <f>SUM(K257:N257)</f>
        <v/>
      </c>
      <c r="T257">
        <f>SUM(P257:S257)</f>
        <v/>
      </c>
      <c r="U257" s="3">
        <f>IF(T257=0,"",P257/T257)</f>
        <v/>
      </c>
      <c r="V257" s="3">
        <f>IF(T257=0,"",Q257/T257)</f>
        <v/>
      </c>
      <c r="W257" s="3">
        <f>IF(T257=0,"",R257/T257)</f>
        <v/>
      </c>
      <c r="X257" s="3">
        <f>IF(T257=0,"",S257/T257)</f>
        <v/>
      </c>
      <c r="Y257" s="4">
        <f>IF(T257=0,"",U257*Pesos!$B$2+V257*Pesos!$B$3+W257*Pesos!$B$4+X257*Pesos!$B$5)</f>
        <v/>
      </c>
    </row>
    <row r="258">
      <c r="A258" s="2" t="n">
        <v>257</v>
      </c>
      <c r="B258" t="n">
        <v>10</v>
      </c>
      <c r="C258" t="n">
        <v>364</v>
      </c>
      <c r="D258" t="n">
        <v>341</v>
      </c>
      <c r="E258" t="n">
        <v>404</v>
      </c>
      <c r="F258" t="n">
        <v>295</v>
      </c>
      <c r="G258" t="n">
        <v>248</v>
      </c>
      <c r="H258" t="n">
        <v>247</v>
      </c>
      <c r="I258" t="n">
        <v>984</v>
      </c>
      <c r="J258" t="n">
        <v>2223</v>
      </c>
      <c r="K258" t="n">
        <v>3510</v>
      </c>
      <c r="L258" t="n">
        <v>2881</v>
      </c>
      <c r="M258" t="n">
        <v>117</v>
      </c>
      <c r="N258" t="n">
        <v>0</v>
      </c>
      <c r="O258" s="6" t="n">
        <v>11614</v>
      </c>
      <c r="P258">
        <f>SUM(C258:H258)</f>
        <v/>
      </c>
      <c r="Q258">
        <f>I258</f>
        <v/>
      </c>
      <c r="R258">
        <f>J258</f>
        <v/>
      </c>
      <c r="S258">
        <f>SUM(K258:N258)</f>
        <v/>
      </c>
      <c r="T258">
        <f>SUM(P258:S258)</f>
        <v/>
      </c>
      <c r="U258" s="3">
        <f>IF(T258=0,"",P258/T258)</f>
        <v/>
      </c>
      <c r="V258" s="3">
        <f>IF(T258=0,"",Q258/T258)</f>
        <v/>
      </c>
      <c r="W258" s="3">
        <f>IF(T258=0,"",R258/T258)</f>
        <v/>
      </c>
      <c r="X258" s="3">
        <f>IF(T258=0,"",S258/T258)</f>
        <v/>
      </c>
      <c r="Y258" s="4">
        <f>IF(T258=0,"",U258*Pesos!$B$2+V258*Pesos!$B$3+W258*Pesos!$B$4+X258*Pesos!$B$5)</f>
        <v/>
      </c>
    </row>
    <row r="259">
      <c r="A259" s="2" t="n">
        <v>258</v>
      </c>
      <c r="B259" t="n">
        <v>10</v>
      </c>
      <c r="C259" t="n">
        <v>315</v>
      </c>
      <c r="D259" t="n">
        <v>301</v>
      </c>
      <c r="E259" t="n">
        <v>432</v>
      </c>
      <c r="F259" t="n">
        <v>303</v>
      </c>
      <c r="G259" t="n">
        <v>342</v>
      </c>
      <c r="H259" t="n">
        <v>267</v>
      </c>
      <c r="I259" t="n">
        <v>1772</v>
      </c>
      <c r="J259" t="n">
        <v>3806</v>
      </c>
      <c r="K259" t="n">
        <v>4519</v>
      </c>
      <c r="L259" t="n">
        <v>1158</v>
      </c>
      <c r="M259" t="n">
        <v>46</v>
      </c>
      <c r="N259" t="n">
        <v>0</v>
      </c>
      <c r="O259" s="6" t="n">
        <v>13261</v>
      </c>
      <c r="P259">
        <f>SUM(C259:H259)</f>
        <v/>
      </c>
      <c r="Q259">
        <f>I259</f>
        <v/>
      </c>
      <c r="R259">
        <f>J259</f>
        <v/>
      </c>
      <c r="S259">
        <f>SUM(K259:N259)</f>
        <v/>
      </c>
      <c r="T259">
        <f>SUM(P259:S259)</f>
        <v/>
      </c>
      <c r="U259" s="3">
        <f>IF(T259=0,"",P259/T259)</f>
        <v/>
      </c>
      <c r="V259" s="3">
        <f>IF(T259=0,"",Q259/T259)</f>
        <v/>
      </c>
      <c r="W259" s="3">
        <f>IF(T259=0,"",R259/T259)</f>
        <v/>
      </c>
      <c r="X259" s="3">
        <f>IF(T259=0,"",S259/T259)</f>
        <v/>
      </c>
      <c r="Y259" s="4">
        <f>IF(T259=0,"",U259*Pesos!$B$2+V259*Pesos!$B$3+W259*Pesos!$B$4+X259*Pesos!$B$5)</f>
        <v/>
      </c>
    </row>
    <row r="260">
      <c r="A260" s="2" t="n">
        <v>259</v>
      </c>
      <c r="B260" t="n">
        <v>1</v>
      </c>
      <c r="C260" t="n">
        <v>82</v>
      </c>
      <c r="D260" t="n">
        <v>52</v>
      </c>
      <c r="E260" t="n">
        <v>77</v>
      </c>
      <c r="F260" t="n">
        <v>48</v>
      </c>
      <c r="G260" t="n">
        <v>309</v>
      </c>
      <c r="H260" t="n">
        <v>49</v>
      </c>
      <c r="I260" t="n">
        <v>66</v>
      </c>
      <c r="J260" t="n">
        <v>28</v>
      </c>
      <c r="K260" t="n">
        <v>25</v>
      </c>
      <c r="L260" t="n">
        <v>37</v>
      </c>
      <c r="M260" t="n">
        <v>26</v>
      </c>
      <c r="N260" t="n">
        <v>9</v>
      </c>
      <c r="O260" s="6" t="n">
        <v>808</v>
      </c>
      <c r="P260">
        <f>SUM(C260:H260)</f>
        <v/>
      </c>
      <c r="Q260">
        <f>I260</f>
        <v/>
      </c>
      <c r="R260">
        <f>J260</f>
        <v/>
      </c>
      <c r="S260">
        <f>SUM(K260:N260)</f>
        <v/>
      </c>
      <c r="T260">
        <f>SUM(P260:S260)</f>
        <v/>
      </c>
      <c r="U260" s="3">
        <f>IF(T260=0,"",P260/T260)</f>
        <v/>
      </c>
      <c r="V260" s="3">
        <f>IF(T260=0,"",Q260/T260)</f>
        <v/>
      </c>
      <c r="W260" s="3">
        <f>IF(T260=0,"",R260/T260)</f>
        <v/>
      </c>
      <c r="X260" s="3">
        <f>IF(T260=0,"",S260/T260)</f>
        <v/>
      </c>
      <c r="Y260" s="4">
        <f>IF(T260=0,"",U260*Pesos!$B$2+V260*Pesos!$B$3+W260*Pesos!$B$4+X260*Pesos!$B$5)</f>
        <v/>
      </c>
    </row>
    <row r="261">
      <c r="A261" s="2" t="n">
        <v>260</v>
      </c>
      <c r="B261" t="n">
        <v>8</v>
      </c>
      <c r="C261" t="n">
        <v>387</v>
      </c>
      <c r="D261" t="n">
        <v>395</v>
      </c>
      <c r="E261" t="n">
        <v>491</v>
      </c>
      <c r="F261" t="n">
        <v>314</v>
      </c>
      <c r="G261" t="n">
        <v>230</v>
      </c>
      <c r="H261" t="n">
        <v>390</v>
      </c>
      <c r="I261" t="n">
        <v>769</v>
      </c>
      <c r="J261" t="n">
        <v>2126</v>
      </c>
      <c r="K261" t="n">
        <v>1946</v>
      </c>
      <c r="L261" t="n">
        <v>1129</v>
      </c>
      <c r="M261" t="n">
        <v>514</v>
      </c>
      <c r="N261" t="n">
        <v>36</v>
      </c>
      <c r="O261" s="6" t="n">
        <v>8727</v>
      </c>
      <c r="P261">
        <f>SUM(C261:H261)</f>
        <v/>
      </c>
      <c r="Q261">
        <f>I261</f>
        <v/>
      </c>
      <c r="R261">
        <f>J261</f>
        <v/>
      </c>
      <c r="S261">
        <f>SUM(K261:N261)</f>
        <v/>
      </c>
      <c r="T261">
        <f>SUM(P261:S261)</f>
        <v/>
      </c>
      <c r="U261" s="3">
        <f>IF(T261=0,"",P261/T261)</f>
        <v/>
      </c>
      <c r="V261" s="3">
        <f>IF(T261=0,"",Q261/T261)</f>
        <v/>
      </c>
      <c r="W261" s="3">
        <f>IF(T261=0,"",R261/T261)</f>
        <v/>
      </c>
      <c r="X261" s="3">
        <f>IF(T261=0,"",S261/T261)</f>
        <v/>
      </c>
      <c r="Y261" s="4">
        <f>IF(T261=0,"",U261*Pesos!$B$2+V261*Pesos!$B$3+W261*Pesos!$B$4+X261*Pesos!$B$5)</f>
        <v/>
      </c>
    </row>
    <row r="262">
      <c r="A262" s="2" t="n">
        <v>261</v>
      </c>
      <c r="B262" t="n">
        <v>12</v>
      </c>
      <c r="C262" t="n">
        <v>690</v>
      </c>
      <c r="D262" t="n">
        <v>856</v>
      </c>
      <c r="E262" t="n">
        <v>862</v>
      </c>
      <c r="F262" t="n">
        <v>631</v>
      </c>
      <c r="G262" t="n">
        <v>394</v>
      </c>
      <c r="H262" t="n">
        <v>313</v>
      </c>
      <c r="I262" t="n">
        <v>1356</v>
      </c>
      <c r="J262" t="n">
        <v>2430</v>
      </c>
      <c r="K262" t="n">
        <v>4419</v>
      </c>
      <c r="L262" t="n">
        <v>2442</v>
      </c>
      <c r="M262" t="n">
        <v>680</v>
      </c>
      <c r="N262" t="n">
        <v>48</v>
      </c>
      <c r="O262" s="6" t="n">
        <v>15121</v>
      </c>
      <c r="P262">
        <f>SUM(C262:H262)</f>
        <v/>
      </c>
      <c r="Q262">
        <f>I262</f>
        <v/>
      </c>
      <c r="R262">
        <f>J262</f>
        <v/>
      </c>
      <c r="S262">
        <f>SUM(K262:N262)</f>
        <v/>
      </c>
      <c r="T262">
        <f>SUM(P262:S262)</f>
        <v/>
      </c>
      <c r="U262" s="3">
        <f>IF(T262=0,"",P262/T262)</f>
        <v/>
      </c>
      <c r="V262" s="3">
        <f>IF(T262=0,"",Q262/T262)</f>
        <v/>
      </c>
      <c r="W262" s="3">
        <f>IF(T262=0,"",R262/T262)</f>
        <v/>
      </c>
      <c r="X262" s="3">
        <f>IF(T262=0,"",S262/T262)</f>
        <v/>
      </c>
      <c r="Y262" s="4">
        <f>IF(T262=0,"",U262*Pesos!$B$2+V262*Pesos!$B$3+W262*Pesos!$B$4+X262*Pesos!$B$5)</f>
        <v/>
      </c>
    </row>
    <row r="263">
      <c r="A263" s="2" t="n">
        <v>262</v>
      </c>
      <c r="B263" t="n">
        <v>9</v>
      </c>
      <c r="C263" t="n">
        <v>571</v>
      </c>
      <c r="D263" t="n">
        <v>538</v>
      </c>
      <c r="E263" t="n">
        <v>990</v>
      </c>
      <c r="F263" t="n">
        <v>564</v>
      </c>
      <c r="G263" t="n">
        <v>468</v>
      </c>
      <c r="H263" t="n">
        <v>264</v>
      </c>
      <c r="I263" t="n">
        <v>1115</v>
      </c>
      <c r="J263" t="n">
        <v>1719</v>
      </c>
      <c r="K263" t="n">
        <v>1581</v>
      </c>
      <c r="L263" t="n">
        <v>1792</v>
      </c>
      <c r="M263" t="n">
        <v>602</v>
      </c>
      <c r="N263" t="n">
        <v>0</v>
      </c>
      <c r="O263" s="6" t="n">
        <v>10204</v>
      </c>
      <c r="P263">
        <f>SUM(C263:H263)</f>
        <v/>
      </c>
      <c r="Q263">
        <f>I263</f>
        <v/>
      </c>
      <c r="R263">
        <f>J263</f>
        <v/>
      </c>
      <c r="S263">
        <f>SUM(K263:N263)</f>
        <v/>
      </c>
      <c r="T263">
        <f>SUM(P263:S263)</f>
        <v/>
      </c>
      <c r="U263" s="3">
        <f>IF(T263=0,"",P263/T263)</f>
        <v/>
      </c>
      <c r="V263" s="3">
        <f>IF(T263=0,"",Q263/T263)</f>
        <v/>
      </c>
      <c r="W263" s="3">
        <f>IF(T263=0,"",R263/T263)</f>
        <v/>
      </c>
      <c r="X263" s="3">
        <f>IF(T263=0,"",S263/T263)</f>
        <v/>
      </c>
      <c r="Y263" s="4">
        <f>IF(T263=0,"",U263*Pesos!$B$2+V263*Pesos!$B$3+W263*Pesos!$B$4+X263*Pesos!$B$5)</f>
        <v/>
      </c>
    </row>
    <row r="264">
      <c r="A264" s="2" t="n">
        <v>263</v>
      </c>
      <c r="B264" t="n">
        <v>7</v>
      </c>
      <c r="C264" t="n">
        <v>320</v>
      </c>
      <c r="D264" t="n">
        <v>294</v>
      </c>
      <c r="E264" t="n">
        <v>311</v>
      </c>
      <c r="F264" t="n">
        <v>249</v>
      </c>
      <c r="G264" t="n">
        <v>210</v>
      </c>
      <c r="H264" t="n">
        <v>146</v>
      </c>
      <c r="I264" t="n">
        <v>681</v>
      </c>
      <c r="J264" t="n">
        <v>1387</v>
      </c>
      <c r="K264" t="n">
        <v>3143</v>
      </c>
      <c r="L264" t="n">
        <v>988</v>
      </c>
      <c r="M264" t="n">
        <v>422</v>
      </c>
      <c r="N264" t="n">
        <v>0</v>
      </c>
      <c r="O264" s="6" t="n">
        <v>8151</v>
      </c>
      <c r="P264">
        <f>SUM(C264:H264)</f>
        <v/>
      </c>
      <c r="Q264">
        <f>I264</f>
        <v/>
      </c>
      <c r="R264">
        <f>J264</f>
        <v/>
      </c>
      <c r="S264">
        <f>SUM(K264:N264)</f>
        <v/>
      </c>
      <c r="T264">
        <f>SUM(P264:S264)</f>
        <v/>
      </c>
      <c r="U264" s="3">
        <f>IF(T264=0,"",P264/T264)</f>
        <v/>
      </c>
      <c r="V264" s="3">
        <f>IF(T264=0,"",Q264/T264)</f>
        <v/>
      </c>
      <c r="W264" s="3">
        <f>IF(T264=0,"",R264/T264)</f>
        <v/>
      </c>
      <c r="X264" s="3">
        <f>IF(T264=0,"",S264/T264)</f>
        <v/>
      </c>
      <c r="Y264" s="4">
        <f>IF(T264=0,"",U264*Pesos!$B$2+V264*Pesos!$B$3+W264*Pesos!$B$4+X264*Pesos!$B$5)</f>
        <v/>
      </c>
    </row>
    <row r="265">
      <c r="A265" s="2" t="n">
        <v>264</v>
      </c>
      <c r="B265" t="n">
        <v>8</v>
      </c>
      <c r="C265" t="n">
        <v>1032</v>
      </c>
      <c r="D265" t="n">
        <v>647</v>
      </c>
      <c r="E265" t="n">
        <v>573</v>
      </c>
      <c r="F265" t="n">
        <v>508</v>
      </c>
      <c r="G265" t="n">
        <v>210</v>
      </c>
      <c r="H265" t="n">
        <v>238</v>
      </c>
      <c r="I265" t="n">
        <v>1950</v>
      </c>
      <c r="J265" t="n">
        <v>1552</v>
      </c>
      <c r="K265" t="n">
        <v>1254</v>
      </c>
      <c r="L265" t="n">
        <v>1459</v>
      </c>
      <c r="M265" t="n">
        <v>730</v>
      </c>
      <c r="N265" t="n">
        <v>12</v>
      </c>
      <c r="O265" s="6" t="n">
        <v>10165</v>
      </c>
      <c r="P265">
        <f>SUM(C265:H265)</f>
        <v/>
      </c>
      <c r="Q265">
        <f>I265</f>
        <v/>
      </c>
      <c r="R265">
        <f>J265</f>
        <v/>
      </c>
      <c r="S265">
        <f>SUM(K265:N265)</f>
        <v/>
      </c>
      <c r="T265">
        <f>SUM(P265:S265)</f>
        <v/>
      </c>
      <c r="U265" s="3">
        <f>IF(T265=0,"",P265/T265)</f>
        <v/>
      </c>
      <c r="V265" s="3">
        <f>IF(T265=0,"",Q265/T265)</f>
        <v/>
      </c>
      <c r="W265" s="3">
        <f>IF(T265=0,"",R265/T265)</f>
        <v/>
      </c>
      <c r="X265" s="3">
        <f>IF(T265=0,"",S265/T265)</f>
        <v/>
      </c>
      <c r="Y265" s="4">
        <f>IF(T265=0,"",U265*Pesos!$B$2+V265*Pesos!$B$3+W265*Pesos!$B$4+X265*Pesos!$B$5)</f>
        <v/>
      </c>
    </row>
    <row r="266">
      <c r="A266" s="2" t="n">
        <v>265</v>
      </c>
      <c r="B266" t="n">
        <v>7</v>
      </c>
      <c r="C266" t="n">
        <v>688</v>
      </c>
      <c r="D266" t="n">
        <v>724</v>
      </c>
      <c r="E266" t="n">
        <v>522</v>
      </c>
      <c r="F266" t="n">
        <v>422</v>
      </c>
      <c r="G266" t="n">
        <v>262</v>
      </c>
      <c r="H266" t="n">
        <v>244</v>
      </c>
      <c r="I266" t="n">
        <v>615</v>
      </c>
      <c r="J266" t="n">
        <v>1255</v>
      </c>
      <c r="K266" t="n">
        <v>1529</v>
      </c>
      <c r="L266" t="n">
        <v>1192</v>
      </c>
      <c r="M266" t="n">
        <v>508</v>
      </c>
      <c r="N266" t="n">
        <v>13</v>
      </c>
      <c r="O266" s="6" t="n">
        <v>7974</v>
      </c>
      <c r="P266">
        <f>SUM(C266:H266)</f>
        <v/>
      </c>
      <c r="Q266">
        <f>I266</f>
        <v/>
      </c>
      <c r="R266">
        <f>J266</f>
        <v/>
      </c>
      <c r="S266">
        <f>SUM(K266:N266)</f>
        <v/>
      </c>
      <c r="T266">
        <f>SUM(P266:S266)</f>
        <v/>
      </c>
      <c r="U266" s="3">
        <f>IF(T266=0,"",P266/T266)</f>
        <v/>
      </c>
      <c r="V266" s="3">
        <f>IF(T266=0,"",Q266/T266)</f>
        <v/>
      </c>
      <c r="W266" s="3">
        <f>IF(T266=0,"",R266/T266)</f>
        <v/>
      </c>
      <c r="X266" s="3">
        <f>IF(T266=0,"",S266/T266)</f>
        <v/>
      </c>
      <c r="Y266" s="4">
        <f>IF(T266=0,"",U266*Pesos!$B$2+V266*Pesos!$B$3+W266*Pesos!$B$4+X266*Pesos!$B$5)</f>
        <v/>
      </c>
    </row>
    <row r="267">
      <c r="A267" s="2" t="n">
        <v>266</v>
      </c>
      <c r="B267" t="n">
        <v>10</v>
      </c>
      <c r="C267" t="n">
        <v>1077</v>
      </c>
      <c r="D267" t="n">
        <v>684</v>
      </c>
      <c r="E267" t="n">
        <v>621</v>
      </c>
      <c r="F267" t="n">
        <v>551</v>
      </c>
      <c r="G267" t="n">
        <v>848</v>
      </c>
      <c r="H267" t="n">
        <v>306</v>
      </c>
      <c r="I267" t="n">
        <v>2511</v>
      </c>
      <c r="J267" t="n">
        <v>1694</v>
      </c>
      <c r="K267" t="n">
        <v>1769</v>
      </c>
      <c r="L267" t="n">
        <v>1123</v>
      </c>
      <c r="M267" t="n">
        <v>1635</v>
      </c>
      <c r="N267" t="n">
        <v>80</v>
      </c>
      <c r="O267" s="6" t="n">
        <v>12899</v>
      </c>
      <c r="P267">
        <f>SUM(C267:H267)</f>
        <v/>
      </c>
      <c r="Q267">
        <f>I267</f>
        <v/>
      </c>
      <c r="R267">
        <f>J267</f>
        <v/>
      </c>
      <c r="S267">
        <f>SUM(K267:N267)</f>
        <v/>
      </c>
      <c r="T267">
        <f>SUM(P267:S267)</f>
        <v/>
      </c>
      <c r="U267" s="3">
        <f>IF(T267=0,"",P267/T267)</f>
        <v/>
      </c>
      <c r="V267" s="3">
        <f>IF(T267=0,"",Q267/T267)</f>
        <v/>
      </c>
      <c r="W267" s="3">
        <f>IF(T267=0,"",R267/T267)</f>
        <v/>
      </c>
      <c r="X267" s="3">
        <f>IF(T267=0,"",S267/T267)</f>
        <v/>
      </c>
      <c r="Y267" s="4">
        <f>IF(T267=0,"",U267*Pesos!$B$2+V267*Pesos!$B$3+W267*Pesos!$B$4+X267*Pesos!$B$5)</f>
        <v/>
      </c>
    </row>
    <row r="268">
      <c r="A268" s="2" t="n">
        <v>267</v>
      </c>
      <c r="B268" t="n">
        <v>12</v>
      </c>
      <c r="C268" t="n">
        <v>1010</v>
      </c>
      <c r="D268" t="n">
        <v>912</v>
      </c>
      <c r="E268" t="n">
        <v>962</v>
      </c>
      <c r="F268" t="n">
        <v>590</v>
      </c>
      <c r="G268" t="n">
        <v>503</v>
      </c>
      <c r="H268" t="n">
        <v>390</v>
      </c>
      <c r="I268" t="n">
        <v>1261</v>
      </c>
      <c r="J268" t="n">
        <v>2894</v>
      </c>
      <c r="K268" t="n">
        <v>3782</v>
      </c>
      <c r="L268" t="n">
        <v>2493</v>
      </c>
      <c r="M268" t="n">
        <v>299</v>
      </c>
      <c r="N268" t="n">
        <v>11</v>
      </c>
      <c r="O268" s="6" t="n">
        <v>15107</v>
      </c>
      <c r="P268">
        <f>SUM(C268:H268)</f>
        <v/>
      </c>
      <c r="Q268">
        <f>I268</f>
        <v/>
      </c>
      <c r="R268">
        <f>J268</f>
        <v/>
      </c>
      <c r="S268">
        <f>SUM(K268:N268)</f>
        <v/>
      </c>
      <c r="T268">
        <f>SUM(P268:S268)</f>
        <v/>
      </c>
      <c r="U268" s="3">
        <f>IF(T268=0,"",P268/T268)</f>
        <v/>
      </c>
      <c r="V268" s="3">
        <f>IF(T268=0,"",Q268/T268)</f>
        <v/>
      </c>
      <c r="W268" s="3">
        <f>IF(T268=0,"",R268/T268)</f>
        <v/>
      </c>
      <c r="X268" s="3">
        <f>IF(T268=0,"",S268/T268)</f>
        <v/>
      </c>
      <c r="Y268" s="4">
        <f>IF(T268=0,"",U268*Pesos!$B$2+V268*Pesos!$B$3+W268*Pesos!$B$4+X268*Pesos!$B$5)</f>
        <v/>
      </c>
    </row>
    <row r="269">
      <c r="A269" s="2" t="n">
        <v>268</v>
      </c>
      <c r="B269" t="n">
        <v>9</v>
      </c>
      <c r="C269" t="n">
        <v>620</v>
      </c>
      <c r="D269" t="n">
        <v>746</v>
      </c>
      <c r="E269" t="n">
        <v>651</v>
      </c>
      <c r="F269" t="n">
        <v>460</v>
      </c>
      <c r="G269" t="n">
        <v>312</v>
      </c>
      <c r="H269" t="n">
        <v>208</v>
      </c>
      <c r="I269" t="n">
        <v>720</v>
      </c>
      <c r="J269" t="n">
        <v>1484</v>
      </c>
      <c r="K269" t="n">
        <v>2046</v>
      </c>
      <c r="L269" t="n">
        <v>2052</v>
      </c>
      <c r="M269" t="n">
        <v>427</v>
      </c>
      <c r="N269" t="n">
        <v>9</v>
      </c>
      <c r="O269" s="6" t="n">
        <v>9735</v>
      </c>
      <c r="P269">
        <f>SUM(C269:H269)</f>
        <v/>
      </c>
      <c r="Q269">
        <f>I269</f>
        <v/>
      </c>
      <c r="R269">
        <f>J269</f>
        <v/>
      </c>
      <c r="S269">
        <f>SUM(K269:N269)</f>
        <v/>
      </c>
      <c r="T269">
        <f>SUM(P269:S269)</f>
        <v/>
      </c>
      <c r="U269" s="3">
        <f>IF(T269=0,"",P269/T269)</f>
        <v/>
      </c>
      <c r="V269" s="3">
        <f>IF(T269=0,"",Q269/T269)</f>
        <v/>
      </c>
      <c r="W269" s="3">
        <f>IF(T269=0,"",R269/T269)</f>
        <v/>
      </c>
      <c r="X269" s="3">
        <f>IF(T269=0,"",S269/T269)</f>
        <v/>
      </c>
      <c r="Y269" s="4">
        <f>IF(T269=0,"",U269*Pesos!$B$2+V269*Pesos!$B$3+W269*Pesos!$B$4+X269*Pesos!$B$5)</f>
        <v/>
      </c>
    </row>
    <row r="270">
      <c r="A270" s="2" t="n">
        <v>269</v>
      </c>
      <c r="B270" t="n">
        <v>8</v>
      </c>
      <c r="C270" t="n">
        <v>615</v>
      </c>
      <c r="D270" t="n">
        <v>555</v>
      </c>
      <c r="E270" t="n">
        <v>555</v>
      </c>
      <c r="F270" t="n">
        <v>482</v>
      </c>
      <c r="G270" t="n">
        <v>325</v>
      </c>
      <c r="H270" t="n">
        <v>228</v>
      </c>
      <c r="I270" t="n">
        <v>806</v>
      </c>
      <c r="J270" t="n">
        <v>1620</v>
      </c>
      <c r="K270" t="n">
        <v>1891</v>
      </c>
      <c r="L270" t="n">
        <v>2317</v>
      </c>
      <c r="M270" t="n">
        <v>304</v>
      </c>
      <c r="N270" t="n">
        <v>20</v>
      </c>
      <c r="O270" s="6" t="n">
        <v>9718</v>
      </c>
      <c r="P270">
        <f>SUM(C270:H270)</f>
        <v/>
      </c>
      <c r="Q270">
        <f>I270</f>
        <v/>
      </c>
      <c r="R270">
        <f>J270</f>
        <v/>
      </c>
      <c r="S270">
        <f>SUM(K270:N270)</f>
        <v/>
      </c>
      <c r="T270">
        <f>SUM(P270:S270)</f>
        <v/>
      </c>
      <c r="U270" s="3">
        <f>IF(T270=0,"",P270/T270)</f>
        <v/>
      </c>
      <c r="V270" s="3">
        <f>IF(T270=0,"",Q270/T270)</f>
        <v/>
      </c>
      <c r="W270" s="3">
        <f>IF(T270=0,"",R270/T270)</f>
        <v/>
      </c>
      <c r="X270" s="3">
        <f>IF(T270=0,"",S270/T270)</f>
        <v/>
      </c>
      <c r="Y270" s="4">
        <f>IF(T270=0,"",U270*Pesos!$B$2+V270*Pesos!$B$3+W270*Pesos!$B$4+X270*Pesos!$B$5)</f>
        <v/>
      </c>
    </row>
    <row r="271">
      <c r="A271" s="2" t="n">
        <v>270</v>
      </c>
      <c r="B271" t="n">
        <v>10</v>
      </c>
      <c r="C271" t="n">
        <v>729</v>
      </c>
      <c r="D271" t="n">
        <v>790</v>
      </c>
      <c r="E271" t="n">
        <v>564</v>
      </c>
      <c r="F271" t="n">
        <v>486</v>
      </c>
      <c r="G271" t="n">
        <v>344</v>
      </c>
      <c r="H271" t="n">
        <v>266</v>
      </c>
      <c r="I271" t="n">
        <v>796</v>
      </c>
      <c r="J271" t="n">
        <v>2020</v>
      </c>
      <c r="K271" t="n">
        <v>2584</v>
      </c>
      <c r="L271" t="n">
        <v>2190</v>
      </c>
      <c r="M271" t="n">
        <v>429</v>
      </c>
      <c r="N271" t="n">
        <v>5</v>
      </c>
      <c r="O271" s="6" t="n">
        <v>11203</v>
      </c>
      <c r="P271">
        <f>SUM(C271:H271)</f>
        <v/>
      </c>
      <c r="Q271">
        <f>I271</f>
        <v/>
      </c>
      <c r="R271">
        <f>J271</f>
        <v/>
      </c>
      <c r="S271">
        <f>SUM(K271:N271)</f>
        <v/>
      </c>
      <c r="T271">
        <f>SUM(P271:S271)</f>
        <v/>
      </c>
      <c r="U271" s="3">
        <f>IF(T271=0,"",P271/T271)</f>
        <v/>
      </c>
      <c r="V271" s="3">
        <f>IF(T271=0,"",Q271/T271)</f>
        <v/>
      </c>
      <c r="W271" s="3">
        <f>IF(T271=0,"",R271/T271)</f>
        <v/>
      </c>
      <c r="X271" s="3">
        <f>IF(T271=0,"",S271/T271)</f>
        <v/>
      </c>
      <c r="Y271" s="4">
        <f>IF(T271=0,"",U271*Pesos!$B$2+V271*Pesos!$B$3+W271*Pesos!$B$4+X271*Pesos!$B$5)</f>
        <v/>
      </c>
    </row>
    <row r="272">
      <c r="A272" s="2" t="n">
        <v>271</v>
      </c>
      <c r="B272" t="n">
        <v>7</v>
      </c>
      <c r="C272" t="n">
        <v>353</v>
      </c>
      <c r="D272" t="n">
        <v>337</v>
      </c>
      <c r="E272" t="n">
        <v>309</v>
      </c>
      <c r="F272" t="n">
        <v>296</v>
      </c>
      <c r="G272" t="n">
        <v>239</v>
      </c>
      <c r="H272" t="n">
        <v>161</v>
      </c>
      <c r="I272" t="n">
        <v>827</v>
      </c>
      <c r="J272" t="n">
        <v>3347</v>
      </c>
      <c r="K272" t="n">
        <v>3743</v>
      </c>
      <c r="L272" t="n">
        <v>494</v>
      </c>
      <c r="M272" t="n">
        <v>0</v>
      </c>
      <c r="N272" t="n">
        <v>0</v>
      </c>
      <c r="O272" s="6" t="n">
        <v>10106</v>
      </c>
      <c r="P272">
        <f>SUM(C272:H272)</f>
        <v/>
      </c>
      <c r="Q272">
        <f>I272</f>
        <v/>
      </c>
      <c r="R272">
        <f>J272</f>
        <v/>
      </c>
      <c r="S272">
        <f>SUM(K272:N272)</f>
        <v/>
      </c>
      <c r="T272">
        <f>SUM(P272:S272)</f>
        <v/>
      </c>
      <c r="U272" s="3">
        <f>IF(T272=0,"",P272/T272)</f>
        <v/>
      </c>
      <c r="V272" s="3">
        <f>IF(T272=0,"",Q272/T272)</f>
        <v/>
      </c>
      <c r="W272" s="3">
        <f>IF(T272=0,"",R272/T272)</f>
        <v/>
      </c>
      <c r="X272" s="3">
        <f>IF(T272=0,"",S272/T272)</f>
        <v/>
      </c>
      <c r="Y272" s="4">
        <f>IF(T272=0,"",U272*Pesos!$B$2+V272*Pesos!$B$3+W272*Pesos!$B$4+X272*Pesos!$B$5)</f>
        <v/>
      </c>
    </row>
    <row r="273">
      <c r="A273" s="2" t="n">
        <v>272</v>
      </c>
      <c r="B273" t="n">
        <v>6</v>
      </c>
      <c r="C273" t="n">
        <v>716</v>
      </c>
      <c r="D273" t="n">
        <v>549</v>
      </c>
      <c r="E273" t="n">
        <v>557</v>
      </c>
      <c r="F273" t="n">
        <v>331</v>
      </c>
      <c r="G273" t="n">
        <v>245</v>
      </c>
      <c r="H273" t="n">
        <v>200</v>
      </c>
      <c r="I273" t="n">
        <v>1157</v>
      </c>
      <c r="J273" t="n">
        <v>3246</v>
      </c>
      <c r="K273" t="n">
        <v>1634</v>
      </c>
      <c r="L273" t="n">
        <v>932</v>
      </c>
      <c r="M273" t="n">
        <v>82</v>
      </c>
      <c r="N273" t="n">
        <v>0</v>
      </c>
      <c r="O273" s="6" t="n">
        <v>9649</v>
      </c>
      <c r="P273">
        <f>SUM(C273:H273)</f>
        <v/>
      </c>
      <c r="Q273">
        <f>I273</f>
        <v/>
      </c>
      <c r="R273">
        <f>J273</f>
        <v/>
      </c>
      <c r="S273">
        <f>SUM(K273:N273)</f>
        <v/>
      </c>
      <c r="T273">
        <f>SUM(P273:S273)</f>
        <v/>
      </c>
      <c r="U273" s="3">
        <f>IF(T273=0,"",P273/T273)</f>
        <v/>
      </c>
      <c r="V273" s="3">
        <f>IF(T273=0,"",Q273/T273)</f>
        <v/>
      </c>
      <c r="W273" s="3">
        <f>IF(T273=0,"",R273/T273)</f>
        <v/>
      </c>
      <c r="X273" s="3">
        <f>IF(T273=0,"",S273/T273)</f>
        <v/>
      </c>
      <c r="Y273" s="4">
        <f>IF(T273=0,"",U273*Pesos!$B$2+V273*Pesos!$B$3+W273*Pesos!$B$4+X273*Pesos!$B$5)</f>
        <v/>
      </c>
    </row>
    <row r="274">
      <c r="A274" s="2" t="n">
        <v>273</v>
      </c>
      <c r="B274" t="n">
        <v>12</v>
      </c>
      <c r="C274" t="n">
        <v>909</v>
      </c>
      <c r="D274" t="n">
        <v>1067</v>
      </c>
      <c r="E274" t="n">
        <v>924</v>
      </c>
      <c r="F274" t="n">
        <v>670</v>
      </c>
      <c r="G274" t="n">
        <v>358</v>
      </c>
      <c r="H274" t="n">
        <v>366</v>
      </c>
      <c r="I274" t="n">
        <v>1184</v>
      </c>
      <c r="J274" t="n">
        <v>1884</v>
      </c>
      <c r="K274" t="n">
        <v>3048</v>
      </c>
      <c r="L274" t="n">
        <v>2469</v>
      </c>
      <c r="M274" t="n">
        <v>847</v>
      </c>
      <c r="N274" t="n">
        <v>5</v>
      </c>
      <c r="O274" s="6" t="n">
        <v>13731</v>
      </c>
      <c r="P274">
        <f>SUM(C274:H274)</f>
        <v/>
      </c>
      <c r="Q274">
        <f>I274</f>
        <v/>
      </c>
      <c r="R274">
        <f>J274</f>
        <v/>
      </c>
      <c r="S274">
        <f>SUM(K274:N274)</f>
        <v/>
      </c>
      <c r="T274">
        <f>SUM(P274:S274)</f>
        <v/>
      </c>
      <c r="U274" s="3">
        <f>IF(T274=0,"",P274/T274)</f>
        <v/>
      </c>
      <c r="V274" s="3">
        <f>IF(T274=0,"",Q274/T274)</f>
        <v/>
      </c>
      <c r="W274" s="3">
        <f>IF(T274=0,"",R274/T274)</f>
        <v/>
      </c>
      <c r="X274" s="3">
        <f>IF(T274=0,"",S274/T274)</f>
        <v/>
      </c>
      <c r="Y274" s="4">
        <f>IF(T274=0,"",U274*Pesos!$B$2+V274*Pesos!$B$3+W274*Pesos!$B$4+X274*Pesos!$B$5)</f>
        <v/>
      </c>
    </row>
    <row r="275">
      <c r="A275" s="2" t="n">
        <v>274</v>
      </c>
      <c r="B275" t="n">
        <v>8</v>
      </c>
      <c r="C275" t="n">
        <v>503</v>
      </c>
      <c r="D275" t="n">
        <v>516</v>
      </c>
      <c r="E275" t="n">
        <v>372</v>
      </c>
      <c r="F275" t="n">
        <v>419</v>
      </c>
      <c r="G275" t="n">
        <v>268</v>
      </c>
      <c r="H275" t="n">
        <v>303</v>
      </c>
      <c r="I275" t="n">
        <v>912</v>
      </c>
      <c r="J275" t="n">
        <v>1223</v>
      </c>
      <c r="K275" t="n">
        <v>1646</v>
      </c>
      <c r="L275" t="n">
        <v>2140</v>
      </c>
      <c r="M275" t="n">
        <v>193</v>
      </c>
      <c r="N275" t="n">
        <v>10</v>
      </c>
      <c r="O275" s="6" t="n">
        <v>8505</v>
      </c>
      <c r="P275">
        <f>SUM(C275:H275)</f>
        <v/>
      </c>
      <c r="Q275">
        <f>I275</f>
        <v/>
      </c>
      <c r="R275">
        <f>J275</f>
        <v/>
      </c>
      <c r="S275">
        <f>SUM(K275:N275)</f>
        <v/>
      </c>
      <c r="T275">
        <f>SUM(P275:S275)</f>
        <v/>
      </c>
      <c r="U275" s="3">
        <f>IF(T275=0,"",P275/T275)</f>
        <v/>
      </c>
      <c r="V275" s="3">
        <f>IF(T275=0,"",Q275/T275)</f>
        <v/>
      </c>
      <c r="W275" s="3">
        <f>IF(T275=0,"",R275/T275)</f>
        <v/>
      </c>
      <c r="X275" s="3">
        <f>IF(T275=0,"",S275/T275)</f>
        <v/>
      </c>
      <c r="Y275" s="4">
        <f>IF(T275=0,"",U275*Pesos!$B$2+V275*Pesos!$B$3+W275*Pesos!$B$4+X275*Pesos!$B$5)</f>
        <v/>
      </c>
    </row>
    <row r="276">
      <c r="A276" s="2" t="n">
        <v>275</v>
      </c>
      <c r="B276" t="n">
        <v>7</v>
      </c>
      <c r="C276" t="n">
        <v>462</v>
      </c>
      <c r="D276" t="n">
        <v>270</v>
      </c>
      <c r="E276" t="n">
        <v>198</v>
      </c>
      <c r="F276" t="n">
        <v>153</v>
      </c>
      <c r="G276" t="n">
        <v>144</v>
      </c>
      <c r="H276" t="n">
        <v>134</v>
      </c>
      <c r="I276" t="n">
        <v>513</v>
      </c>
      <c r="J276" t="n">
        <v>4179</v>
      </c>
      <c r="K276" t="n">
        <v>837</v>
      </c>
      <c r="L276" t="n">
        <v>724</v>
      </c>
      <c r="M276" t="n">
        <v>200</v>
      </c>
      <c r="N276" t="n">
        <v>0</v>
      </c>
      <c r="O276" s="6" t="n">
        <v>7814</v>
      </c>
      <c r="P276">
        <f>SUM(C276:H276)</f>
        <v/>
      </c>
      <c r="Q276">
        <f>I276</f>
        <v/>
      </c>
      <c r="R276">
        <f>J276</f>
        <v/>
      </c>
      <c r="S276">
        <f>SUM(K276:N276)</f>
        <v/>
      </c>
      <c r="T276">
        <f>SUM(P276:S276)</f>
        <v/>
      </c>
      <c r="U276" s="3">
        <f>IF(T276=0,"",P276/T276)</f>
        <v/>
      </c>
      <c r="V276" s="3">
        <f>IF(T276=0,"",Q276/T276)</f>
        <v/>
      </c>
      <c r="W276" s="3">
        <f>IF(T276=0,"",R276/T276)</f>
        <v/>
      </c>
      <c r="X276" s="3">
        <f>IF(T276=0,"",S276/T276)</f>
        <v/>
      </c>
      <c r="Y276" s="4">
        <f>IF(T276=0,"",U276*Pesos!$B$2+V276*Pesos!$B$3+W276*Pesos!$B$4+X276*Pesos!$B$5)</f>
        <v/>
      </c>
    </row>
    <row r="277">
      <c r="A277" s="2" t="n">
        <v>276</v>
      </c>
      <c r="B277" t="n">
        <v>7</v>
      </c>
      <c r="C277" t="n">
        <v>502</v>
      </c>
      <c r="D277" t="n">
        <v>545</v>
      </c>
      <c r="E277" t="n">
        <v>363</v>
      </c>
      <c r="F277" t="n">
        <v>406</v>
      </c>
      <c r="G277" t="n">
        <v>278</v>
      </c>
      <c r="H277" t="n">
        <v>202</v>
      </c>
      <c r="I277" t="n">
        <v>725</v>
      </c>
      <c r="J277" t="n">
        <v>1912</v>
      </c>
      <c r="K277" t="n">
        <v>3100</v>
      </c>
      <c r="L277" t="n">
        <v>1888</v>
      </c>
      <c r="M277" t="n">
        <v>43</v>
      </c>
      <c r="N277" t="n">
        <v>2</v>
      </c>
      <c r="O277" s="6" t="n">
        <v>9966</v>
      </c>
      <c r="P277">
        <f>SUM(C277:H277)</f>
        <v/>
      </c>
      <c r="Q277">
        <f>I277</f>
        <v/>
      </c>
      <c r="R277">
        <f>J277</f>
        <v/>
      </c>
      <c r="S277">
        <f>SUM(K277:N277)</f>
        <v/>
      </c>
      <c r="T277">
        <f>SUM(P277:S277)</f>
        <v/>
      </c>
      <c r="U277" s="3">
        <f>IF(T277=0,"",P277/T277)</f>
        <v/>
      </c>
      <c r="V277" s="3">
        <f>IF(T277=0,"",Q277/T277)</f>
        <v/>
      </c>
      <c r="W277" s="3">
        <f>IF(T277=0,"",R277/T277)</f>
        <v/>
      </c>
      <c r="X277" s="3">
        <f>IF(T277=0,"",S277/T277)</f>
        <v/>
      </c>
      <c r="Y277" s="4">
        <f>IF(T277=0,"",U277*Pesos!$B$2+V277*Pesos!$B$3+W277*Pesos!$B$4+X277*Pesos!$B$5)</f>
        <v/>
      </c>
    </row>
    <row r="278">
      <c r="A278" s="2" t="n">
        <v>277</v>
      </c>
      <c r="B278" t="n">
        <v>3</v>
      </c>
      <c r="C278" t="n">
        <v>230</v>
      </c>
      <c r="D278" t="n">
        <v>325</v>
      </c>
      <c r="E278" t="n">
        <v>261</v>
      </c>
      <c r="F278" t="n">
        <v>197</v>
      </c>
      <c r="G278" t="n">
        <v>148</v>
      </c>
      <c r="H278" t="n">
        <v>129</v>
      </c>
      <c r="I278" t="n">
        <v>702</v>
      </c>
      <c r="J278" t="n">
        <v>956</v>
      </c>
      <c r="K278" t="n">
        <v>628</v>
      </c>
      <c r="L278" t="n">
        <v>558</v>
      </c>
      <c r="M278" t="n">
        <v>22</v>
      </c>
      <c r="N278" t="n">
        <v>9</v>
      </c>
      <c r="O278" s="6" t="n">
        <v>4165</v>
      </c>
      <c r="P278">
        <f>SUM(C278:H278)</f>
        <v/>
      </c>
      <c r="Q278">
        <f>I278</f>
        <v/>
      </c>
      <c r="R278">
        <f>J278</f>
        <v/>
      </c>
      <c r="S278">
        <f>SUM(K278:N278)</f>
        <v/>
      </c>
      <c r="T278">
        <f>SUM(P278:S278)</f>
        <v/>
      </c>
      <c r="U278" s="3">
        <f>IF(T278=0,"",P278/T278)</f>
        <v/>
      </c>
      <c r="V278" s="3">
        <f>IF(T278=0,"",Q278/T278)</f>
        <v/>
      </c>
      <c r="W278" s="3">
        <f>IF(T278=0,"",R278/T278)</f>
        <v/>
      </c>
      <c r="X278" s="3">
        <f>IF(T278=0,"",S278/T278)</f>
        <v/>
      </c>
      <c r="Y278" s="4">
        <f>IF(T278=0,"",U278*Pesos!$B$2+V278*Pesos!$B$3+W278*Pesos!$B$4+X278*Pesos!$B$5)</f>
        <v/>
      </c>
    </row>
    <row r="279">
      <c r="A279" s="2" t="n">
        <v>278</v>
      </c>
      <c r="B279" t="n">
        <v>8</v>
      </c>
      <c r="C279" t="n">
        <v>810</v>
      </c>
      <c r="D279" t="n">
        <v>651</v>
      </c>
      <c r="E279" t="n">
        <v>575</v>
      </c>
      <c r="F279" t="n">
        <v>461</v>
      </c>
      <c r="G279" t="n">
        <v>417</v>
      </c>
      <c r="H279" t="n">
        <v>256</v>
      </c>
      <c r="I279" t="n">
        <v>1092</v>
      </c>
      <c r="J279" t="n">
        <v>1541</v>
      </c>
      <c r="K279" t="n">
        <v>2659</v>
      </c>
      <c r="L279" t="n">
        <v>1527</v>
      </c>
      <c r="M279" t="n">
        <v>84</v>
      </c>
      <c r="N279" t="n">
        <v>23</v>
      </c>
      <c r="O279" s="6" t="n">
        <v>10096</v>
      </c>
      <c r="P279">
        <f>SUM(C279:H279)</f>
        <v/>
      </c>
      <c r="Q279">
        <f>I279</f>
        <v/>
      </c>
      <c r="R279">
        <f>J279</f>
        <v/>
      </c>
      <c r="S279">
        <f>SUM(K279:N279)</f>
        <v/>
      </c>
      <c r="T279">
        <f>SUM(P279:S279)</f>
        <v/>
      </c>
      <c r="U279" s="3">
        <f>IF(T279=0,"",P279/T279)</f>
        <v/>
      </c>
      <c r="V279" s="3">
        <f>IF(T279=0,"",Q279/T279)</f>
        <v/>
      </c>
      <c r="W279" s="3">
        <f>IF(T279=0,"",R279/T279)</f>
        <v/>
      </c>
      <c r="X279" s="3">
        <f>IF(T279=0,"",S279/T279)</f>
        <v/>
      </c>
      <c r="Y279" s="4">
        <f>IF(T279=0,"",U279*Pesos!$B$2+V279*Pesos!$B$3+W279*Pesos!$B$4+X279*Pesos!$B$5)</f>
        <v/>
      </c>
    </row>
    <row r="280">
      <c r="A280" s="2" t="n">
        <v>279</v>
      </c>
      <c r="B280" t="n">
        <v>1</v>
      </c>
      <c r="C280" t="n">
        <v>205</v>
      </c>
      <c r="D280" t="n">
        <v>76</v>
      </c>
      <c r="E280" t="n">
        <v>47</v>
      </c>
      <c r="F280" t="n">
        <v>55</v>
      </c>
      <c r="G280" t="n">
        <v>45</v>
      </c>
      <c r="H280" t="n">
        <v>25</v>
      </c>
      <c r="I280" t="n">
        <v>96</v>
      </c>
      <c r="J280" t="n">
        <v>134</v>
      </c>
      <c r="K280" t="n">
        <v>186</v>
      </c>
      <c r="L280" t="n">
        <v>212</v>
      </c>
      <c r="M280" t="n">
        <v>27</v>
      </c>
      <c r="N280" t="n">
        <v>0</v>
      </c>
      <c r="O280" s="6" t="n">
        <v>1108</v>
      </c>
      <c r="P280">
        <f>SUM(C280:H280)</f>
        <v/>
      </c>
      <c r="Q280">
        <f>I280</f>
        <v/>
      </c>
      <c r="R280">
        <f>J280</f>
        <v/>
      </c>
      <c r="S280">
        <f>SUM(K280:N280)</f>
        <v/>
      </c>
      <c r="T280">
        <f>SUM(P280:S280)</f>
        <v/>
      </c>
      <c r="U280" s="3">
        <f>IF(T280=0,"",P280/T280)</f>
        <v/>
      </c>
      <c r="V280" s="3">
        <f>IF(T280=0,"",Q280/T280)</f>
        <v/>
      </c>
      <c r="W280" s="3">
        <f>IF(T280=0,"",R280/T280)</f>
        <v/>
      </c>
      <c r="X280" s="3">
        <f>IF(T280=0,"",S280/T280)</f>
        <v/>
      </c>
      <c r="Y280" s="4">
        <f>IF(T280=0,"",U280*Pesos!$B$2+V280*Pesos!$B$3+W280*Pesos!$B$4+X280*Pesos!$B$5)</f>
        <v/>
      </c>
    </row>
    <row r="281">
      <c r="A281" s="2" t="n">
        <v>280</v>
      </c>
      <c r="B281" t="n">
        <v>7</v>
      </c>
      <c r="C281" t="n">
        <v>361</v>
      </c>
      <c r="D281" t="n">
        <v>310</v>
      </c>
      <c r="E281" t="n">
        <v>387</v>
      </c>
      <c r="F281" t="n">
        <v>305</v>
      </c>
      <c r="G281" t="n">
        <v>293</v>
      </c>
      <c r="H281" t="n">
        <v>151</v>
      </c>
      <c r="I281" t="n">
        <v>716</v>
      </c>
      <c r="J281" t="n">
        <v>1048</v>
      </c>
      <c r="K281" t="n">
        <v>1998</v>
      </c>
      <c r="L281" t="n">
        <v>697</v>
      </c>
      <c r="M281" t="n">
        <v>1986</v>
      </c>
      <c r="N281" t="n">
        <v>0</v>
      </c>
      <c r="O281" s="6" t="n">
        <v>8252</v>
      </c>
      <c r="P281">
        <f>SUM(C281:H281)</f>
        <v/>
      </c>
      <c r="Q281">
        <f>I281</f>
        <v/>
      </c>
      <c r="R281">
        <f>J281</f>
        <v/>
      </c>
      <c r="S281">
        <f>SUM(K281:N281)</f>
        <v/>
      </c>
      <c r="T281">
        <f>SUM(P281:S281)</f>
        <v/>
      </c>
      <c r="U281" s="3">
        <f>IF(T281=0,"",P281/T281)</f>
        <v/>
      </c>
      <c r="V281" s="3">
        <f>IF(T281=0,"",Q281/T281)</f>
        <v/>
      </c>
      <c r="W281" s="3">
        <f>IF(T281=0,"",R281/T281)</f>
        <v/>
      </c>
      <c r="X281" s="3">
        <f>IF(T281=0,"",S281/T281)</f>
        <v/>
      </c>
      <c r="Y281" s="4">
        <f>IF(T281=0,"",U281*Pesos!$B$2+V281*Pesos!$B$3+W281*Pesos!$B$4+X281*Pesos!$B$5)</f>
        <v/>
      </c>
    </row>
    <row r="282">
      <c r="A282" s="2" t="n">
        <v>281</v>
      </c>
      <c r="B282" t="n">
        <v>9</v>
      </c>
      <c r="C282" t="n">
        <v>629</v>
      </c>
      <c r="D282" t="n">
        <v>555</v>
      </c>
      <c r="E282" t="n">
        <v>576</v>
      </c>
      <c r="F282" t="n">
        <v>389</v>
      </c>
      <c r="G282" t="n">
        <v>221</v>
      </c>
      <c r="H282" t="n">
        <v>207</v>
      </c>
      <c r="I282" t="n">
        <v>784</v>
      </c>
      <c r="J282" t="n">
        <v>1589</v>
      </c>
      <c r="K282" t="n">
        <v>2273</v>
      </c>
      <c r="L282" t="n">
        <v>2208</v>
      </c>
      <c r="M282" t="n">
        <v>157</v>
      </c>
      <c r="N282" t="n">
        <v>1</v>
      </c>
      <c r="O282" s="6" t="n">
        <v>9589</v>
      </c>
      <c r="P282">
        <f>SUM(C282:H282)</f>
        <v/>
      </c>
      <c r="Q282">
        <f>I282</f>
        <v/>
      </c>
      <c r="R282">
        <f>J282</f>
        <v/>
      </c>
      <c r="S282">
        <f>SUM(K282:N282)</f>
        <v/>
      </c>
      <c r="T282">
        <f>SUM(P282:S282)</f>
        <v/>
      </c>
      <c r="U282" s="3">
        <f>IF(T282=0,"",P282/T282)</f>
        <v/>
      </c>
      <c r="V282" s="3">
        <f>IF(T282=0,"",Q282/T282)</f>
        <v/>
      </c>
      <c r="W282" s="3">
        <f>IF(T282=0,"",R282/T282)</f>
        <v/>
      </c>
      <c r="X282" s="3">
        <f>IF(T282=0,"",S282/T282)</f>
        <v/>
      </c>
      <c r="Y282" s="4">
        <f>IF(T282=0,"",U282*Pesos!$B$2+V282*Pesos!$B$3+W282*Pesos!$B$4+X282*Pesos!$B$5)</f>
        <v/>
      </c>
    </row>
    <row r="283">
      <c r="A283" s="2" t="n">
        <v>282</v>
      </c>
      <c r="B283" t="n">
        <v>8</v>
      </c>
      <c r="C283" t="n">
        <v>128</v>
      </c>
      <c r="D283" t="n">
        <v>158</v>
      </c>
      <c r="E283" t="n">
        <v>203</v>
      </c>
      <c r="F283" t="n">
        <v>152</v>
      </c>
      <c r="G283" t="n">
        <v>74</v>
      </c>
      <c r="H283" t="n">
        <v>78</v>
      </c>
      <c r="I283" t="n">
        <v>467</v>
      </c>
      <c r="J283" t="n">
        <v>5866</v>
      </c>
      <c r="K283" t="n">
        <v>940</v>
      </c>
      <c r="L283" t="n">
        <v>0</v>
      </c>
      <c r="M283" t="n">
        <v>0</v>
      </c>
      <c r="N283" t="n">
        <v>0</v>
      </c>
      <c r="O283" s="6" t="n">
        <v>8066</v>
      </c>
      <c r="P283">
        <f>SUM(C283:H283)</f>
        <v/>
      </c>
      <c r="Q283">
        <f>I283</f>
        <v/>
      </c>
      <c r="R283">
        <f>J283</f>
        <v/>
      </c>
      <c r="S283">
        <f>SUM(K283:N283)</f>
        <v/>
      </c>
      <c r="T283">
        <f>SUM(P283:S283)</f>
        <v/>
      </c>
      <c r="U283" s="3">
        <f>IF(T283=0,"",P283/T283)</f>
        <v/>
      </c>
      <c r="V283" s="3">
        <f>IF(T283=0,"",Q283/T283)</f>
        <v/>
      </c>
      <c r="W283" s="3">
        <f>IF(T283=0,"",R283/T283)</f>
        <v/>
      </c>
      <c r="X283" s="3">
        <f>IF(T283=0,"",S283/T283)</f>
        <v/>
      </c>
      <c r="Y283" s="4">
        <f>IF(T283=0,"",U283*Pesos!$B$2+V283*Pesos!$B$3+W283*Pesos!$B$4+X283*Pesos!$B$5)</f>
        <v/>
      </c>
    </row>
    <row r="284">
      <c r="A284" s="2" t="n">
        <v>283</v>
      </c>
      <c r="B284" t="n">
        <v>8</v>
      </c>
      <c r="C284" t="n">
        <v>1242</v>
      </c>
      <c r="D284" t="n">
        <v>1379</v>
      </c>
      <c r="E284" t="n">
        <v>159</v>
      </c>
      <c r="F284" t="n">
        <v>131</v>
      </c>
      <c r="G284" t="n">
        <v>127</v>
      </c>
      <c r="H284" t="n">
        <v>145</v>
      </c>
      <c r="I284" t="n">
        <v>413</v>
      </c>
      <c r="J284" t="n">
        <v>4810</v>
      </c>
      <c r="K284" t="n">
        <v>3284</v>
      </c>
      <c r="L284" t="n">
        <v>0</v>
      </c>
      <c r="M284" t="n">
        <v>0</v>
      </c>
      <c r="N284" t="n">
        <v>0</v>
      </c>
      <c r="O284" s="6" t="n">
        <v>11690</v>
      </c>
      <c r="P284">
        <f>SUM(C284:H284)</f>
        <v/>
      </c>
      <c r="Q284">
        <f>I284</f>
        <v/>
      </c>
      <c r="R284">
        <f>J284</f>
        <v/>
      </c>
      <c r="S284">
        <f>SUM(K284:N284)</f>
        <v/>
      </c>
      <c r="T284">
        <f>SUM(P284:S284)</f>
        <v/>
      </c>
      <c r="U284" s="3">
        <f>IF(T284=0,"",P284/T284)</f>
        <v/>
      </c>
      <c r="V284" s="3">
        <f>IF(T284=0,"",Q284/T284)</f>
        <v/>
      </c>
      <c r="W284" s="3">
        <f>IF(T284=0,"",R284/T284)</f>
        <v/>
      </c>
      <c r="X284" s="3">
        <f>IF(T284=0,"",S284/T284)</f>
        <v/>
      </c>
      <c r="Y284" s="4">
        <f>IF(T284=0,"",U284*Pesos!$B$2+V284*Pesos!$B$3+W284*Pesos!$B$4+X284*Pesos!$B$5)</f>
        <v/>
      </c>
    </row>
    <row r="285">
      <c r="A285" s="2" t="n">
        <v>284</v>
      </c>
      <c r="B285" t="n">
        <v>6</v>
      </c>
      <c r="C285" t="n">
        <v>240</v>
      </c>
      <c r="D285" t="n">
        <v>191</v>
      </c>
      <c r="E285" t="n">
        <v>247</v>
      </c>
      <c r="F285" t="n">
        <v>196</v>
      </c>
      <c r="G285" t="n">
        <v>137</v>
      </c>
      <c r="H285" t="n">
        <v>120</v>
      </c>
      <c r="I285" t="n">
        <v>942</v>
      </c>
      <c r="J285" t="n">
        <v>4677</v>
      </c>
      <c r="K285" t="n">
        <v>625</v>
      </c>
      <c r="L285" t="n">
        <v>427</v>
      </c>
      <c r="M285" t="n">
        <v>0</v>
      </c>
      <c r="N285" t="n">
        <v>0</v>
      </c>
      <c r="O285" s="6" t="n">
        <v>7802</v>
      </c>
      <c r="P285">
        <f>SUM(C285:H285)</f>
        <v/>
      </c>
      <c r="Q285">
        <f>I285</f>
        <v/>
      </c>
      <c r="R285">
        <f>J285</f>
        <v/>
      </c>
      <c r="S285">
        <f>SUM(K285:N285)</f>
        <v/>
      </c>
      <c r="T285">
        <f>SUM(P285:S285)</f>
        <v/>
      </c>
      <c r="U285" s="3">
        <f>IF(T285=0,"",P285/T285)</f>
        <v/>
      </c>
      <c r="V285" s="3">
        <f>IF(T285=0,"",Q285/T285)</f>
        <v/>
      </c>
      <c r="W285" s="3">
        <f>IF(T285=0,"",R285/T285)</f>
        <v/>
      </c>
      <c r="X285" s="3">
        <f>IF(T285=0,"",S285/T285)</f>
        <v/>
      </c>
      <c r="Y285" s="4">
        <f>IF(T285=0,"",U285*Pesos!$B$2+V285*Pesos!$B$3+W285*Pesos!$B$4+X285*Pesos!$B$5)</f>
        <v/>
      </c>
    </row>
    <row r="286">
      <c r="A286" s="2" t="n">
        <v>285</v>
      </c>
      <c r="B286" t="n">
        <v>6</v>
      </c>
      <c r="C286" t="n">
        <v>1527</v>
      </c>
      <c r="D286" t="n">
        <v>1679</v>
      </c>
      <c r="E286" t="n">
        <v>1469</v>
      </c>
      <c r="F286" t="n">
        <v>793</v>
      </c>
      <c r="G286" t="n">
        <v>2173</v>
      </c>
      <c r="H286" t="n">
        <v>791</v>
      </c>
      <c r="I286" t="n">
        <v>3908</v>
      </c>
      <c r="J286" t="n">
        <v>203</v>
      </c>
      <c r="K286" t="n">
        <v>178</v>
      </c>
      <c r="L286" t="n">
        <v>177</v>
      </c>
      <c r="M286" t="n">
        <v>4</v>
      </c>
      <c r="N286" t="n">
        <v>0</v>
      </c>
      <c r="O286" s="6" t="n">
        <v>12902</v>
      </c>
      <c r="P286">
        <f>SUM(C286:H286)</f>
        <v/>
      </c>
      <c r="Q286">
        <f>I286</f>
        <v/>
      </c>
      <c r="R286">
        <f>J286</f>
        <v/>
      </c>
      <c r="S286">
        <f>SUM(K286:N286)</f>
        <v/>
      </c>
      <c r="T286">
        <f>SUM(P286:S286)</f>
        <v/>
      </c>
      <c r="U286" s="3">
        <f>IF(T286=0,"",P286/T286)</f>
        <v/>
      </c>
      <c r="V286" s="3">
        <f>IF(T286=0,"",Q286/T286)</f>
        <v/>
      </c>
      <c r="W286" s="3">
        <f>IF(T286=0,"",R286/T286)</f>
        <v/>
      </c>
      <c r="X286" s="3">
        <f>IF(T286=0,"",S286/T286)</f>
        <v/>
      </c>
      <c r="Y286" s="4">
        <f>IF(T286=0,"",U286*Pesos!$B$2+V286*Pesos!$B$3+W286*Pesos!$B$4+X286*Pesos!$B$5)</f>
        <v/>
      </c>
    </row>
    <row r="287">
      <c r="A287" s="2" t="n">
        <v>286</v>
      </c>
      <c r="B287" t="n">
        <v>10</v>
      </c>
      <c r="C287" t="n">
        <v>804</v>
      </c>
      <c r="D287" t="n">
        <v>767</v>
      </c>
      <c r="E287" t="n">
        <v>609</v>
      </c>
      <c r="F287" t="n">
        <v>518</v>
      </c>
      <c r="G287" t="n">
        <v>618</v>
      </c>
      <c r="H287" t="n">
        <v>339</v>
      </c>
      <c r="I287" t="n">
        <v>1340</v>
      </c>
      <c r="J287" t="n">
        <v>3546</v>
      </c>
      <c r="K287" t="n">
        <v>2659</v>
      </c>
      <c r="L287" t="n">
        <v>596</v>
      </c>
      <c r="M287" t="n">
        <v>590</v>
      </c>
      <c r="N287" t="n">
        <v>0</v>
      </c>
      <c r="O287" s="6" t="n">
        <v>12386</v>
      </c>
      <c r="P287">
        <f>SUM(C287:H287)</f>
        <v/>
      </c>
      <c r="Q287">
        <f>I287</f>
        <v/>
      </c>
      <c r="R287">
        <f>J287</f>
        <v/>
      </c>
      <c r="S287">
        <f>SUM(K287:N287)</f>
        <v/>
      </c>
      <c r="T287">
        <f>SUM(P287:S287)</f>
        <v/>
      </c>
      <c r="U287" s="3">
        <f>IF(T287=0,"",P287/T287)</f>
        <v/>
      </c>
      <c r="V287" s="3">
        <f>IF(T287=0,"",Q287/T287)</f>
        <v/>
      </c>
      <c r="W287" s="3">
        <f>IF(T287=0,"",R287/T287)</f>
        <v/>
      </c>
      <c r="X287" s="3">
        <f>IF(T287=0,"",S287/T287)</f>
        <v/>
      </c>
      <c r="Y287" s="4">
        <f>IF(T287=0,"",U287*Pesos!$B$2+V287*Pesos!$B$3+W287*Pesos!$B$4+X287*Pesos!$B$5)</f>
        <v/>
      </c>
    </row>
    <row r="288">
      <c r="A288" s="2" t="n">
        <v>287</v>
      </c>
      <c r="B288" t="n">
        <v>6</v>
      </c>
      <c r="C288" t="n">
        <v>324</v>
      </c>
      <c r="D288" t="n">
        <v>248</v>
      </c>
      <c r="E288" t="n">
        <v>282</v>
      </c>
      <c r="F288" t="n">
        <v>233</v>
      </c>
      <c r="G288" t="n">
        <v>116</v>
      </c>
      <c r="H288" t="n">
        <v>112</v>
      </c>
      <c r="I288" t="n">
        <v>404</v>
      </c>
      <c r="J288" t="n">
        <v>2490</v>
      </c>
      <c r="K288" t="n">
        <v>680</v>
      </c>
      <c r="L288" t="n">
        <v>1087</v>
      </c>
      <c r="M288" t="n">
        <v>491</v>
      </c>
      <c r="N288" t="n">
        <v>4</v>
      </c>
      <c r="O288" s="6" t="n">
        <v>6471</v>
      </c>
      <c r="P288">
        <f>SUM(C288:H288)</f>
        <v/>
      </c>
      <c r="Q288">
        <f>I288</f>
        <v/>
      </c>
      <c r="R288">
        <f>J288</f>
        <v/>
      </c>
      <c r="S288">
        <f>SUM(K288:N288)</f>
        <v/>
      </c>
      <c r="T288">
        <f>SUM(P288:S288)</f>
        <v/>
      </c>
      <c r="U288" s="3">
        <f>IF(T288=0,"",P288/T288)</f>
        <v/>
      </c>
      <c r="V288" s="3">
        <f>IF(T288=0,"",Q288/T288)</f>
        <v/>
      </c>
      <c r="W288" s="3">
        <f>IF(T288=0,"",R288/T288)</f>
        <v/>
      </c>
      <c r="X288" s="3">
        <f>IF(T288=0,"",S288/T288)</f>
        <v/>
      </c>
      <c r="Y288" s="4">
        <f>IF(T288=0,"",U288*Pesos!$B$2+V288*Pesos!$B$3+W288*Pesos!$B$4+X288*Pesos!$B$5)</f>
        <v/>
      </c>
    </row>
    <row r="289">
      <c r="A289" s="2" t="n">
        <v>288</v>
      </c>
      <c r="B289" t="n">
        <v>10</v>
      </c>
      <c r="C289" t="n">
        <v>985</v>
      </c>
      <c r="D289" t="n">
        <v>958</v>
      </c>
      <c r="E289" t="n">
        <v>1251</v>
      </c>
      <c r="F289" t="n">
        <v>608</v>
      </c>
      <c r="G289" t="n">
        <v>369</v>
      </c>
      <c r="H289" t="n">
        <v>386</v>
      </c>
      <c r="I289" t="n">
        <v>1411</v>
      </c>
      <c r="J289" t="n">
        <v>4435</v>
      </c>
      <c r="K289" t="n">
        <v>1884</v>
      </c>
      <c r="L289" t="n">
        <v>1489</v>
      </c>
      <c r="M289" t="n">
        <v>650</v>
      </c>
      <c r="N289" t="n">
        <v>22</v>
      </c>
      <c r="O289" s="6" t="n">
        <v>14448</v>
      </c>
      <c r="P289">
        <f>SUM(C289:H289)</f>
        <v/>
      </c>
      <c r="Q289">
        <f>I289</f>
        <v/>
      </c>
      <c r="R289">
        <f>J289</f>
        <v/>
      </c>
      <c r="S289">
        <f>SUM(K289:N289)</f>
        <v/>
      </c>
      <c r="T289">
        <f>SUM(P289:S289)</f>
        <v/>
      </c>
      <c r="U289" s="3">
        <f>IF(T289=0,"",P289/T289)</f>
        <v/>
      </c>
      <c r="V289" s="3">
        <f>IF(T289=0,"",Q289/T289)</f>
        <v/>
      </c>
      <c r="W289" s="3">
        <f>IF(T289=0,"",R289/T289)</f>
        <v/>
      </c>
      <c r="X289" s="3">
        <f>IF(T289=0,"",S289/T289)</f>
        <v/>
      </c>
      <c r="Y289" s="4">
        <f>IF(T289=0,"",U289*Pesos!$B$2+V289*Pesos!$B$3+W289*Pesos!$B$4+X289*Pesos!$B$5)</f>
        <v/>
      </c>
    </row>
    <row r="290">
      <c r="A290" s="2" t="n">
        <v>289</v>
      </c>
      <c r="B290" t="n">
        <v>10</v>
      </c>
      <c r="C290" t="n">
        <v>973</v>
      </c>
      <c r="D290" t="n">
        <v>1003</v>
      </c>
      <c r="E290" t="n">
        <v>1108</v>
      </c>
      <c r="F290" t="n">
        <v>637</v>
      </c>
      <c r="G290" t="n">
        <v>368</v>
      </c>
      <c r="H290" t="n">
        <v>331</v>
      </c>
      <c r="I290" t="n">
        <v>1045</v>
      </c>
      <c r="J290" t="n">
        <v>1814</v>
      </c>
      <c r="K290" t="n">
        <v>2132</v>
      </c>
      <c r="L290" t="n">
        <v>1754</v>
      </c>
      <c r="M290" t="n">
        <v>802</v>
      </c>
      <c r="N290" t="n">
        <v>31</v>
      </c>
      <c r="O290" s="6" t="n">
        <v>11998</v>
      </c>
      <c r="P290">
        <f>SUM(C290:H290)</f>
        <v/>
      </c>
      <c r="Q290">
        <f>I290</f>
        <v/>
      </c>
      <c r="R290">
        <f>J290</f>
        <v/>
      </c>
      <c r="S290">
        <f>SUM(K290:N290)</f>
        <v/>
      </c>
      <c r="T290">
        <f>SUM(P290:S290)</f>
        <v/>
      </c>
      <c r="U290" s="3">
        <f>IF(T290=0,"",P290/T290)</f>
        <v/>
      </c>
      <c r="V290" s="3">
        <f>IF(T290=0,"",Q290/T290)</f>
        <v/>
      </c>
      <c r="W290" s="3">
        <f>IF(T290=0,"",R290/T290)</f>
        <v/>
      </c>
      <c r="X290" s="3">
        <f>IF(T290=0,"",S290/T290)</f>
        <v/>
      </c>
      <c r="Y290" s="4">
        <f>IF(T290=0,"",U290*Pesos!$B$2+V290*Pesos!$B$3+W290*Pesos!$B$4+X290*Pesos!$B$5)</f>
        <v/>
      </c>
    </row>
    <row r="291">
      <c r="A291" s="2" t="n">
        <v>290</v>
      </c>
      <c r="B291" t="n">
        <v>13</v>
      </c>
      <c r="C291" t="n">
        <v>767</v>
      </c>
      <c r="D291" t="n">
        <v>652</v>
      </c>
      <c r="E291" t="n">
        <v>744</v>
      </c>
      <c r="F291" t="n">
        <v>675</v>
      </c>
      <c r="G291" t="n">
        <v>520</v>
      </c>
      <c r="H291" t="n">
        <v>386</v>
      </c>
      <c r="I291" t="n">
        <v>1438</v>
      </c>
      <c r="J291" t="n">
        <v>2803</v>
      </c>
      <c r="K291" t="n">
        <v>3549</v>
      </c>
      <c r="L291" t="n">
        <v>2521</v>
      </c>
      <c r="M291" t="n">
        <v>1711</v>
      </c>
      <c r="N291" t="n">
        <v>156</v>
      </c>
      <c r="O291" s="6" t="n">
        <v>15922</v>
      </c>
      <c r="P291">
        <f>SUM(C291:H291)</f>
        <v/>
      </c>
      <c r="Q291">
        <f>I291</f>
        <v/>
      </c>
      <c r="R291">
        <f>J291</f>
        <v/>
      </c>
      <c r="S291">
        <f>SUM(K291:N291)</f>
        <v/>
      </c>
      <c r="T291">
        <f>SUM(P291:S291)</f>
        <v/>
      </c>
      <c r="U291" s="3">
        <f>IF(T291=0,"",P291/T291)</f>
        <v/>
      </c>
      <c r="V291" s="3">
        <f>IF(T291=0,"",Q291/T291)</f>
        <v/>
      </c>
      <c r="W291" s="3">
        <f>IF(T291=0,"",R291/T291)</f>
        <v/>
      </c>
      <c r="X291" s="3">
        <f>IF(T291=0,"",S291/T291)</f>
        <v/>
      </c>
      <c r="Y291" s="4">
        <f>IF(T291=0,"",U291*Pesos!$B$2+V291*Pesos!$B$3+W291*Pesos!$B$4+X291*Pesos!$B$5)</f>
        <v/>
      </c>
    </row>
    <row r="292">
      <c r="A292" s="2" t="n">
        <v>291</v>
      </c>
      <c r="B292" t="n">
        <v>11</v>
      </c>
      <c r="C292" t="n">
        <v>915</v>
      </c>
      <c r="D292" t="n">
        <v>1101</v>
      </c>
      <c r="E292" t="n">
        <v>939</v>
      </c>
      <c r="F292" t="n">
        <v>623</v>
      </c>
      <c r="G292" t="n">
        <v>526</v>
      </c>
      <c r="H292" t="n">
        <v>422</v>
      </c>
      <c r="I292" t="n">
        <v>1034</v>
      </c>
      <c r="J292" t="n">
        <v>2122</v>
      </c>
      <c r="K292" t="n">
        <v>3083</v>
      </c>
      <c r="L292" t="n">
        <v>2278</v>
      </c>
      <c r="M292" t="n">
        <v>430</v>
      </c>
      <c r="N292" t="n">
        <v>30</v>
      </c>
      <c r="O292" s="6" t="n">
        <v>13503</v>
      </c>
      <c r="P292">
        <f>SUM(C292:H292)</f>
        <v/>
      </c>
      <c r="Q292">
        <f>I292</f>
        <v/>
      </c>
      <c r="R292">
        <f>J292</f>
        <v/>
      </c>
      <c r="S292">
        <f>SUM(K292:N292)</f>
        <v/>
      </c>
      <c r="T292">
        <f>SUM(P292:S292)</f>
        <v/>
      </c>
      <c r="U292" s="3">
        <f>IF(T292=0,"",P292/T292)</f>
        <v/>
      </c>
      <c r="V292" s="3">
        <f>IF(T292=0,"",Q292/T292)</f>
        <v/>
      </c>
      <c r="W292" s="3">
        <f>IF(T292=0,"",R292/T292)</f>
        <v/>
      </c>
      <c r="X292" s="3">
        <f>IF(T292=0,"",S292/T292)</f>
        <v/>
      </c>
      <c r="Y292" s="4">
        <f>IF(T292=0,"",U292*Pesos!$B$2+V292*Pesos!$B$3+W292*Pesos!$B$4+X292*Pesos!$B$5)</f>
        <v/>
      </c>
    </row>
    <row r="293">
      <c r="A293" s="2" t="n">
        <v>292</v>
      </c>
      <c r="B293" t="n">
        <v>8</v>
      </c>
      <c r="C293" t="n">
        <v>409</v>
      </c>
      <c r="D293" t="n">
        <v>433</v>
      </c>
      <c r="E293" t="n">
        <v>415</v>
      </c>
      <c r="F293" t="n">
        <v>234</v>
      </c>
      <c r="G293" t="n">
        <v>307</v>
      </c>
      <c r="H293" t="n">
        <v>620</v>
      </c>
      <c r="I293" t="n">
        <v>1508</v>
      </c>
      <c r="J293" t="n">
        <v>1901</v>
      </c>
      <c r="K293" t="n">
        <v>895</v>
      </c>
      <c r="L293" t="n">
        <v>948</v>
      </c>
      <c r="M293" t="n">
        <v>1457</v>
      </c>
      <c r="N293" t="n">
        <v>0</v>
      </c>
      <c r="O293" s="6" t="n">
        <v>9127</v>
      </c>
      <c r="P293">
        <f>SUM(C293:H293)</f>
        <v/>
      </c>
      <c r="Q293">
        <f>I293</f>
        <v/>
      </c>
      <c r="R293">
        <f>J293</f>
        <v/>
      </c>
      <c r="S293">
        <f>SUM(K293:N293)</f>
        <v/>
      </c>
      <c r="T293">
        <f>SUM(P293:S293)</f>
        <v/>
      </c>
      <c r="U293" s="3">
        <f>IF(T293=0,"",P293/T293)</f>
        <v/>
      </c>
      <c r="V293" s="3">
        <f>IF(T293=0,"",Q293/T293)</f>
        <v/>
      </c>
      <c r="W293" s="3">
        <f>IF(T293=0,"",R293/T293)</f>
        <v/>
      </c>
      <c r="X293" s="3">
        <f>IF(T293=0,"",S293/T293)</f>
        <v/>
      </c>
      <c r="Y293" s="4">
        <f>IF(T293=0,"",U293*Pesos!$B$2+V293*Pesos!$B$3+W293*Pesos!$B$4+X293*Pesos!$B$5)</f>
        <v/>
      </c>
    </row>
    <row r="294">
      <c r="A294" s="2" t="n">
        <v>293</v>
      </c>
      <c r="B294" t="n">
        <v>7</v>
      </c>
      <c r="C294" t="n">
        <v>201</v>
      </c>
      <c r="D294" t="n">
        <v>147</v>
      </c>
      <c r="E294" t="n">
        <v>146</v>
      </c>
      <c r="F294" t="n">
        <v>176</v>
      </c>
      <c r="G294" t="n">
        <v>167</v>
      </c>
      <c r="H294" t="n">
        <v>128</v>
      </c>
      <c r="I294" t="n">
        <v>750</v>
      </c>
      <c r="J294" t="n">
        <v>5397</v>
      </c>
      <c r="K294" t="n">
        <v>280</v>
      </c>
      <c r="L294" t="n">
        <v>215</v>
      </c>
      <c r="M294" t="n">
        <v>2</v>
      </c>
      <c r="N294" t="n">
        <v>0</v>
      </c>
      <c r="O294" s="6" t="n">
        <v>7609</v>
      </c>
      <c r="P294">
        <f>SUM(C294:H294)</f>
        <v/>
      </c>
      <c r="Q294">
        <f>I294</f>
        <v/>
      </c>
      <c r="R294">
        <f>J294</f>
        <v/>
      </c>
      <c r="S294">
        <f>SUM(K294:N294)</f>
        <v/>
      </c>
      <c r="T294">
        <f>SUM(P294:S294)</f>
        <v/>
      </c>
      <c r="U294" s="3">
        <f>IF(T294=0,"",P294/T294)</f>
        <v/>
      </c>
      <c r="V294" s="3">
        <f>IF(T294=0,"",Q294/T294)</f>
        <v/>
      </c>
      <c r="W294" s="3">
        <f>IF(T294=0,"",R294/T294)</f>
        <v/>
      </c>
      <c r="X294" s="3">
        <f>IF(T294=0,"",S294/T294)</f>
        <v/>
      </c>
      <c r="Y294" s="4">
        <f>IF(T294=0,"",U294*Pesos!$B$2+V294*Pesos!$B$3+W294*Pesos!$B$4+X294*Pesos!$B$5)</f>
        <v/>
      </c>
    </row>
    <row r="295">
      <c r="A295" s="2" t="n">
        <v>294</v>
      </c>
      <c r="B295" t="n">
        <v>7</v>
      </c>
      <c r="C295" t="n">
        <v>481</v>
      </c>
      <c r="D295" t="n">
        <v>585</v>
      </c>
      <c r="E295" t="n">
        <v>692</v>
      </c>
      <c r="F295" t="n">
        <v>355</v>
      </c>
      <c r="G295" t="n">
        <v>477</v>
      </c>
      <c r="H295" t="n">
        <v>914</v>
      </c>
      <c r="I295" t="n">
        <v>1201</v>
      </c>
      <c r="J295" t="n">
        <v>1631</v>
      </c>
      <c r="K295" t="n">
        <v>2278</v>
      </c>
      <c r="L295" t="n">
        <v>917</v>
      </c>
      <c r="M295" t="n">
        <v>155</v>
      </c>
      <c r="N295" t="n">
        <v>10</v>
      </c>
      <c r="O295" s="6" t="n">
        <v>9696</v>
      </c>
      <c r="P295">
        <f>SUM(C295:H295)</f>
        <v/>
      </c>
      <c r="Q295">
        <f>I295</f>
        <v/>
      </c>
      <c r="R295">
        <f>J295</f>
        <v/>
      </c>
      <c r="S295">
        <f>SUM(K295:N295)</f>
        <v/>
      </c>
      <c r="T295">
        <f>SUM(P295:S295)</f>
        <v/>
      </c>
      <c r="U295" s="3">
        <f>IF(T295=0,"",P295/T295)</f>
        <v/>
      </c>
      <c r="V295" s="3">
        <f>IF(T295=0,"",Q295/T295)</f>
        <v/>
      </c>
      <c r="W295" s="3">
        <f>IF(T295=0,"",R295/T295)</f>
        <v/>
      </c>
      <c r="X295" s="3">
        <f>IF(T295=0,"",S295/T295)</f>
        <v/>
      </c>
      <c r="Y295" s="4">
        <f>IF(T295=0,"",U295*Pesos!$B$2+V295*Pesos!$B$3+W295*Pesos!$B$4+X295*Pesos!$B$5)</f>
        <v/>
      </c>
    </row>
    <row r="296">
      <c r="A296" s="2" t="n">
        <v>295</v>
      </c>
      <c r="B296" t="n">
        <v>7</v>
      </c>
      <c r="C296" t="n">
        <v>689</v>
      </c>
      <c r="D296" t="n">
        <v>570</v>
      </c>
      <c r="E296" t="n">
        <v>583</v>
      </c>
      <c r="F296" t="n">
        <v>436</v>
      </c>
      <c r="G296" t="n">
        <v>356</v>
      </c>
      <c r="H296" t="n">
        <v>205</v>
      </c>
      <c r="I296" t="n">
        <v>836</v>
      </c>
      <c r="J296" t="n">
        <v>1468</v>
      </c>
      <c r="K296" t="n">
        <v>1570</v>
      </c>
      <c r="L296" t="n">
        <v>744</v>
      </c>
      <c r="M296" t="n">
        <v>429</v>
      </c>
      <c r="N296" t="n">
        <v>122</v>
      </c>
      <c r="O296" s="6" t="n">
        <v>8008</v>
      </c>
      <c r="P296">
        <f>SUM(C296:H296)</f>
        <v/>
      </c>
      <c r="Q296">
        <f>I296</f>
        <v/>
      </c>
      <c r="R296">
        <f>J296</f>
        <v/>
      </c>
      <c r="S296">
        <f>SUM(K296:N296)</f>
        <v/>
      </c>
      <c r="T296">
        <f>SUM(P296:S296)</f>
        <v/>
      </c>
      <c r="U296" s="3">
        <f>IF(T296=0,"",P296/T296)</f>
        <v/>
      </c>
      <c r="V296" s="3">
        <f>IF(T296=0,"",Q296/T296)</f>
        <v/>
      </c>
      <c r="W296" s="3">
        <f>IF(T296=0,"",R296/T296)</f>
        <v/>
      </c>
      <c r="X296" s="3">
        <f>IF(T296=0,"",S296/T296)</f>
        <v/>
      </c>
      <c r="Y296" s="4">
        <f>IF(T296=0,"",U296*Pesos!$B$2+V296*Pesos!$B$3+W296*Pesos!$B$4+X296*Pesos!$B$5)</f>
        <v/>
      </c>
    </row>
    <row r="297">
      <c r="A297" s="2" t="n">
        <v>296</v>
      </c>
      <c r="B297" t="n">
        <v>8</v>
      </c>
      <c r="C297" t="n">
        <v>1015</v>
      </c>
      <c r="D297" t="n">
        <v>769</v>
      </c>
      <c r="E297" t="n">
        <v>738</v>
      </c>
      <c r="F297" t="n">
        <v>615</v>
      </c>
      <c r="G297" t="n">
        <v>491</v>
      </c>
      <c r="H297" t="n">
        <v>337</v>
      </c>
      <c r="I297" t="n">
        <v>990</v>
      </c>
      <c r="J297" t="n">
        <v>1426</v>
      </c>
      <c r="K297" t="n">
        <v>1363</v>
      </c>
      <c r="L297" t="n">
        <v>777</v>
      </c>
      <c r="M297" t="n">
        <v>1161</v>
      </c>
      <c r="N297" t="n">
        <v>279</v>
      </c>
      <c r="O297" s="6" t="n">
        <v>9961</v>
      </c>
      <c r="P297">
        <f>SUM(C297:H297)</f>
        <v/>
      </c>
      <c r="Q297">
        <f>I297</f>
        <v/>
      </c>
      <c r="R297">
        <f>J297</f>
        <v/>
      </c>
      <c r="S297">
        <f>SUM(K297:N297)</f>
        <v/>
      </c>
      <c r="T297">
        <f>SUM(P297:S297)</f>
        <v/>
      </c>
      <c r="U297" s="3">
        <f>IF(T297=0,"",P297/T297)</f>
        <v/>
      </c>
      <c r="V297" s="3">
        <f>IF(T297=0,"",Q297/T297)</f>
        <v/>
      </c>
      <c r="W297" s="3">
        <f>IF(T297=0,"",R297/T297)</f>
        <v/>
      </c>
      <c r="X297" s="3">
        <f>IF(T297=0,"",S297/T297)</f>
        <v/>
      </c>
      <c r="Y297" s="4">
        <f>IF(T297=0,"",U297*Pesos!$B$2+V297*Pesos!$B$3+W297*Pesos!$B$4+X297*Pesos!$B$5)</f>
        <v/>
      </c>
    </row>
    <row r="298">
      <c r="A298" s="2" t="n">
        <v>297</v>
      </c>
      <c r="B298" t="n">
        <v>7</v>
      </c>
      <c r="C298" t="n">
        <v>489</v>
      </c>
      <c r="D298" t="n">
        <v>396</v>
      </c>
      <c r="E298" t="n">
        <v>321</v>
      </c>
      <c r="F298" t="n">
        <v>334</v>
      </c>
      <c r="G298" t="n">
        <v>222</v>
      </c>
      <c r="H298" t="n">
        <v>171</v>
      </c>
      <c r="I298" t="n">
        <v>525</v>
      </c>
      <c r="J298" t="n">
        <v>943</v>
      </c>
      <c r="K298" t="n">
        <v>1324</v>
      </c>
      <c r="L298" t="n">
        <v>1382</v>
      </c>
      <c r="M298" t="n">
        <v>218</v>
      </c>
      <c r="N298" t="n">
        <v>6</v>
      </c>
      <c r="O298" s="6" t="n">
        <v>6331</v>
      </c>
      <c r="P298">
        <f>SUM(C298:H298)</f>
        <v/>
      </c>
      <c r="Q298">
        <f>I298</f>
        <v/>
      </c>
      <c r="R298">
        <f>J298</f>
        <v/>
      </c>
      <c r="S298">
        <f>SUM(K298:N298)</f>
        <v/>
      </c>
      <c r="T298">
        <f>SUM(P298:S298)</f>
        <v/>
      </c>
      <c r="U298" s="3">
        <f>IF(T298=0,"",P298/T298)</f>
        <v/>
      </c>
      <c r="V298" s="3">
        <f>IF(T298=0,"",Q298/T298)</f>
        <v/>
      </c>
      <c r="W298" s="3">
        <f>IF(T298=0,"",R298/T298)</f>
        <v/>
      </c>
      <c r="X298" s="3">
        <f>IF(T298=0,"",S298/T298)</f>
        <v/>
      </c>
      <c r="Y298" s="4">
        <f>IF(T298=0,"",U298*Pesos!$B$2+V298*Pesos!$B$3+W298*Pesos!$B$4+X298*Pesos!$B$5)</f>
        <v/>
      </c>
    </row>
    <row r="299">
      <c r="A299" s="2" t="n">
        <v>298</v>
      </c>
      <c r="B299" t="n">
        <v>7</v>
      </c>
      <c r="C299" t="n">
        <v>608</v>
      </c>
      <c r="D299" t="n">
        <v>1306</v>
      </c>
      <c r="E299" t="n">
        <v>1059</v>
      </c>
      <c r="F299" t="n">
        <v>654</v>
      </c>
      <c r="G299" t="n">
        <v>400</v>
      </c>
      <c r="H299" t="n">
        <v>1147</v>
      </c>
      <c r="I299" t="n">
        <v>3728</v>
      </c>
      <c r="J299" t="n">
        <v>1758</v>
      </c>
      <c r="K299" t="n">
        <v>230</v>
      </c>
      <c r="L299" t="n">
        <v>56</v>
      </c>
      <c r="M299" t="n">
        <v>5</v>
      </c>
      <c r="N299" t="n">
        <v>0</v>
      </c>
      <c r="O299" s="6" t="n">
        <v>10951</v>
      </c>
      <c r="P299">
        <f>SUM(C299:H299)</f>
        <v/>
      </c>
      <c r="Q299">
        <f>I299</f>
        <v/>
      </c>
      <c r="R299">
        <f>J299</f>
        <v/>
      </c>
      <c r="S299">
        <f>SUM(K299:N299)</f>
        <v/>
      </c>
      <c r="T299">
        <f>SUM(P299:S299)</f>
        <v/>
      </c>
      <c r="U299" s="3">
        <f>IF(T299=0,"",P299/T299)</f>
        <v/>
      </c>
      <c r="V299" s="3">
        <f>IF(T299=0,"",Q299/T299)</f>
        <v/>
      </c>
      <c r="W299" s="3">
        <f>IF(T299=0,"",R299/T299)</f>
        <v/>
      </c>
      <c r="X299" s="3">
        <f>IF(T299=0,"",S299/T299)</f>
        <v/>
      </c>
      <c r="Y299" s="4">
        <f>IF(T299=0,"",U299*Pesos!$B$2+V299*Pesos!$B$3+W299*Pesos!$B$4+X299*Pesos!$B$5)</f>
        <v/>
      </c>
    </row>
    <row r="300">
      <c r="A300" s="2" t="n">
        <v>299</v>
      </c>
      <c r="B300" t="n">
        <v>10</v>
      </c>
      <c r="C300" t="n">
        <v>622</v>
      </c>
      <c r="D300" t="n">
        <v>494</v>
      </c>
      <c r="E300" t="n">
        <v>550</v>
      </c>
      <c r="F300" t="n">
        <v>446</v>
      </c>
      <c r="G300" t="n">
        <v>370</v>
      </c>
      <c r="H300" t="n">
        <v>240</v>
      </c>
      <c r="I300" t="n">
        <v>1039</v>
      </c>
      <c r="J300" t="n">
        <v>2460</v>
      </c>
      <c r="K300" t="n">
        <v>2591</v>
      </c>
      <c r="L300" t="n">
        <v>1292</v>
      </c>
      <c r="M300" t="n">
        <v>1509</v>
      </c>
      <c r="N300" t="n">
        <v>23</v>
      </c>
      <c r="O300" s="6" t="n">
        <v>11636</v>
      </c>
      <c r="P300">
        <f>SUM(C300:H300)</f>
        <v/>
      </c>
      <c r="Q300">
        <f>I300</f>
        <v/>
      </c>
      <c r="R300">
        <f>J300</f>
        <v/>
      </c>
      <c r="S300">
        <f>SUM(K300:N300)</f>
        <v/>
      </c>
      <c r="T300">
        <f>SUM(P300:S300)</f>
        <v/>
      </c>
      <c r="U300" s="3">
        <f>IF(T300=0,"",P300/T300)</f>
        <v/>
      </c>
      <c r="V300" s="3">
        <f>IF(T300=0,"",Q300/T300)</f>
        <v/>
      </c>
      <c r="W300" s="3">
        <f>IF(T300=0,"",R300/T300)</f>
        <v/>
      </c>
      <c r="X300" s="3">
        <f>IF(T300=0,"",S300/T300)</f>
        <v/>
      </c>
      <c r="Y300" s="4">
        <f>IF(T300=0,"",U300*Pesos!$B$2+V300*Pesos!$B$3+W300*Pesos!$B$4+X300*Pesos!$B$5)</f>
        <v/>
      </c>
    </row>
    <row r="301">
      <c r="A301" s="2" t="n">
        <v>300</v>
      </c>
      <c r="B301" t="n">
        <v>13</v>
      </c>
      <c r="C301" t="n">
        <v>493</v>
      </c>
      <c r="D301" t="n">
        <v>418</v>
      </c>
      <c r="E301" t="n">
        <v>551</v>
      </c>
      <c r="F301" t="n">
        <v>394</v>
      </c>
      <c r="G301" t="n">
        <v>323</v>
      </c>
      <c r="H301" t="n">
        <v>279</v>
      </c>
      <c r="I301" t="n">
        <v>1328</v>
      </c>
      <c r="J301" t="n">
        <v>10909</v>
      </c>
      <c r="K301" t="n">
        <v>935</v>
      </c>
      <c r="L301" t="n">
        <v>1163</v>
      </c>
      <c r="M301" t="n">
        <v>0</v>
      </c>
      <c r="N301" t="n">
        <v>0</v>
      </c>
      <c r="O301" s="6" t="n">
        <v>16793</v>
      </c>
      <c r="P301">
        <f>SUM(C301:H301)</f>
        <v/>
      </c>
      <c r="Q301">
        <f>I301</f>
        <v/>
      </c>
      <c r="R301">
        <f>J301</f>
        <v/>
      </c>
      <c r="S301">
        <f>SUM(K301:N301)</f>
        <v/>
      </c>
      <c r="T301">
        <f>SUM(P301:S301)</f>
        <v/>
      </c>
      <c r="U301" s="3">
        <f>IF(T301=0,"",P301/T301)</f>
        <v/>
      </c>
      <c r="V301" s="3">
        <f>IF(T301=0,"",Q301/T301)</f>
        <v/>
      </c>
      <c r="W301" s="3">
        <f>IF(T301=0,"",R301/T301)</f>
        <v/>
      </c>
      <c r="X301" s="3">
        <f>IF(T301=0,"",S301/T301)</f>
        <v/>
      </c>
      <c r="Y301" s="4">
        <f>IF(T301=0,"",U301*Pesos!$B$2+V301*Pesos!$B$3+W301*Pesos!$B$4+X301*Pesos!$B$5)</f>
        <v/>
      </c>
    </row>
    <row r="302">
      <c r="A302" s="2" t="n">
        <v>301</v>
      </c>
      <c r="B302" t="n">
        <v>8</v>
      </c>
      <c r="C302" t="n">
        <v>292</v>
      </c>
      <c r="D302" t="n">
        <v>250</v>
      </c>
      <c r="E302" t="n">
        <v>296</v>
      </c>
      <c r="F302" t="n">
        <v>261</v>
      </c>
      <c r="G302" t="n">
        <v>179</v>
      </c>
      <c r="H302" t="n">
        <v>175</v>
      </c>
      <c r="I302" t="n">
        <v>610</v>
      </c>
      <c r="J302" t="n">
        <v>4856</v>
      </c>
      <c r="K302" t="n">
        <v>1071</v>
      </c>
      <c r="L302" t="n">
        <v>852</v>
      </c>
      <c r="M302" t="n">
        <v>535</v>
      </c>
      <c r="N302" t="n">
        <v>0</v>
      </c>
      <c r="O302" s="6" t="n">
        <v>9377</v>
      </c>
      <c r="P302">
        <f>SUM(C302:H302)</f>
        <v/>
      </c>
      <c r="Q302">
        <f>I302</f>
        <v/>
      </c>
      <c r="R302">
        <f>J302</f>
        <v/>
      </c>
      <c r="S302">
        <f>SUM(K302:N302)</f>
        <v/>
      </c>
      <c r="T302">
        <f>SUM(P302:S302)</f>
        <v/>
      </c>
      <c r="U302" s="3">
        <f>IF(T302=0,"",P302/T302)</f>
        <v/>
      </c>
      <c r="V302" s="3">
        <f>IF(T302=0,"",Q302/T302)</f>
        <v/>
      </c>
      <c r="W302" s="3">
        <f>IF(T302=0,"",R302/T302)</f>
        <v/>
      </c>
      <c r="X302" s="3">
        <f>IF(T302=0,"",S302/T302)</f>
        <v/>
      </c>
      <c r="Y302" s="4">
        <f>IF(T302=0,"",U302*Pesos!$B$2+V302*Pesos!$B$3+W302*Pesos!$B$4+X302*Pesos!$B$5)</f>
        <v/>
      </c>
    </row>
    <row r="303">
      <c r="A303" s="2" t="n">
        <v>302</v>
      </c>
      <c r="B303" t="n">
        <v>7</v>
      </c>
      <c r="C303" t="n">
        <v>501</v>
      </c>
      <c r="D303" t="n">
        <v>635</v>
      </c>
      <c r="E303" t="n">
        <v>449</v>
      </c>
      <c r="F303" t="n">
        <v>374</v>
      </c>
      <c r="G303" t="n">
        <v>269</v>
      </c>
      <c r="H303" t="n">
        <v>259</v>
      </c>
      <c r="I303" t="n">
        <v>625</v>
      </c>
      <c r="J303" t="n">
        <v>2058</v>
      </c>
      <c r="K303" t="n">
        <v>1875</v>
      </c>
      <c r="L303" t="n">
        <v>1883</v>
      </c>
      <c r="M303" t="n">
        <v>405</v>
      </c>
      <c r="N303" t="n">
        <v>3</v>
      </c>
      <c r="O303" s="6" t="n">
        <v>9336</v>
      </c>
      <c r="P303">
        <f>SUM(C303:H303)</f>
        <v/>
      </c>
      <c r="Q303">
        <f>I303</f>
        <v/>
      </c>
      <c r="R303">
        <f>J303</f>
        <v/>
      </c>
      <c r="S303">
        <f>SUM(K303:N303)</f>
        <v/>
      </c>
      <c r="T303">
        <f>SUM(P303:S303)</f>
        <v/>
      </c>
      <c r="U303" s="3">
        <f>IF(T303=0,"",P303/T303)</f>
        <v/>
      </c>
      <c r="V303" s="3">
        <f>IF(T303=0,"",Q303/T303)</f>
        <v/>
      </c>
      <c r="W303" s="3">
        <f>IF(T303=0,"",R303/T303)</f>
        <v/>
      </c>
      <c r="X303" s="3">
        <f>IF(T303=0,"",S303/T303)</f>
        <v/>
      </c>
      <c r="Y303" s="4">
        <f>IF(T303=0,"",U303*Pesos!$B$2+V303*Pesos!$B$3+W303*Pesos!$B$4+X303*Pesos!$B$5)</f>
        <v/>
      </c>
    </row>
    <row r="304">
      <c r="A304" s="2" t="n">
        <v>303</v>
      </c>
      <c r="B304" t="n">
        <v>7</v>
      </c>
      <c r="C304" t="n">
        <v>233</v>
      </c>
      <c r="D304" t="n">
        <v>182</v>
      </c>
      <c r="E304" t="n">
        <v>162</v>
      </c>
      <c r="F304" t="n">
        <v>146</v>
      </c>
      <c r="G304" t="n">
        <v>86</v>
      </c>
      <c r="H304" t="n">
        <v>112</v>
      </c>
      <c r="I304" t="n">
        <v>433</v>
      </c>
      <c r="J304" t="n">
        <v>4108</v>
      </c>
      <c r="K304" t="n">
        <v>2321</v>
      </c>
      <c r="L304" t="n">
        <v>2</v>
      </c>
      <c r="M304" t="n">
        <v>0</v>
      </c>
      <c r="N304" t="n">
        <v>0</v>
      </c>
      <c r="O304" s="6" t="n">
        <v>7785</v>
      </c>
      <c r="P304">
        <f>SUM(C304:H304)</f>
        <v/>
      </c>
      <c r="Q304">
        <f>I304</f>
        <v/>
      </c>
      <c r="R304">
        <f>J304</f>
        <v/>
      </c>
      <c r="S304">
        <f>SUM(K304:N304)</f>
        <v/>
      </c>
      <c r="T304">
        <f>SUM(P304:S304)</f>
        <v/>
      </c>
      <c r="U304" s="3">
        <f>IF(T304=0,"",P304/T304)</f>
        <v/>
      </c>
      <c r="V304" s="3">
        <f>IF(T304=0,"",Q304/T304)</f>
        <v/>
      </c>
      <c r="W304" s="3">
        <f>IF(T304=0,"",R304/T304)</f>
        <v/>
      </c>
      <c r="X304" s="3">
        <f>IF(T304=0,"",S304/T304)</f>
        <v/>
      </c>
      <c r="Y304" s="4">
        <f>IF(T304=0,"",U304*Pesos!$B$2+V304*Pesos!$B$3+W304*Pesos!$B$4+X304*Pesos!$B$5)</f>
        <v/>
      </c>
    </row>
    <row r="305">
      <c r="A305" s="2" t="n">
        <v>304</v>
      </c>
      <c r="B305" t="n">
        <v>7</v>
      </c>
      <c r="C305" t="n">
        <v>610</v>
      </c>
      <c r="D305" t="n">
        <v>582</v>
      </c>
      <c r="E305" t="n">
        <v>631</v>
      </c>
      <c r="F305" t="n">
        <v>360</v>
      </c>
      <c r="G305" t="n">
        <v>430</v>
      </c>
      <c r="H305" t="n">
        <v>212</v>
      </c>
      <c r="I305" t="n">
        <v>822</v>
      </c>
      <c r="J305" t="n">
        <v>1655</v>
      </c>
      <c r="K305" t="n">
        <v>1417</v>
      </c>
      <c r="L305" t="n">
        <v>2080</v>
      </c>
      <c r="M305" t="n">
        <v>406</v>
      </c>
      <c r="N305" t="n">
        <v>43</v>
      </c>
      <c r="O305" s="6" t="n">
        <v>9248</v>
      </c>
      <c r="P305">
        <f>SUM(C305:H305)</f>
        <v/>
      </c>
      <c r="Q305">
        <f>I305</f>
        <v/>
      </c>
      <c r="R305">
        <f>J305</f>
        <v/>
      </c>
      <c r="S305">
        <f>SUM(K305:N305)</f>
        <v/>
      </c>
      <c r="T305">
        <f>SUM(P305:S305)</f>
        <v/>
      </c>
      <c r="U305" s="3">
        <f>IF(T305=0,"",P305/T305)</f>
        <v/>
      </c>
      <c r="V305" s="3">
        <f>IF(T305=0,"",Q305/T305)</f>
        <v/>
      </c>
      <c r="W305" s="3">
        <f>IF(T305=0,"",R305/T305)</f>
        <v/>
      </c>
      <c r="X305" s="3">
        <f>IF(T305=0,"",S305/T305)</f>
        <v/>
      </c>
      <c r="Y305" s="4">
        <f>IF(T305=0,"",U305*Pesos!$B$2+V305*Pesos!$B$3+W305*Pesos!$B$4+X305*Pesos!$B$5)</f>
        <v/>
      </c>
    </row>
    <row r="306">
      <c r="A306" s="2" t="n">
        <v>305</v>
      </c>
      <c r="B306" t="n">
        <v>8</v>
      </c>
      <c r="C306" t="n">
        <v>984</v>
      </c>
      <c r="D306" t="n">
        <v>735</v>
      </c>
      <c r="E306" t="n">
        <v>641</v>
      </c>
      <c r="F306" t="n">
        <v>452</v>
      </c>
      <c r="G306" t="n">
        <v>309</v>
      </c>
      <c r="H306" t="n">
        <v>327</v>
      </c>
      <c r="I306" t="n">
        <v>846</v>
      </c>
      <c r="J306" t="n">
        <v>1210</v>
      </c>
      <c r="K306" t="n">
        <v>1641</v>
      </c>
      <c r="L306" t="n">
        <v>1204</v>
      </c>
      <c r="M306" t="n">
        <v>428</v>
      </c>
      <c r="N306" t="n">
        <v>92</v>
      </c>
      <c r="O306" s="6" t="n">
        <v>8869</v>
      </c>
      <c r="P306">
        <f>SUM(C306:H306)</f>
        <v/>
      </c>
      <c r="Q306">
        <f>I306</f>
        <v/>
      </c>
      <c r="R306">
        <f>J306</f>
        <v/>
      </c>
      <c r="S306">
        <f>SUM(K306:N306)</f>
        <v/>
      </c>
      <c r="T306">
        <f>SUM(P306:S306)</f>
        <v/>
      </c>
      <c r="U306" s="3">
        <f>IF(T306=0,"",P306/T306)</f>
        <v/>
      </c>
      <c r="V306" s="3">
        <f>IF(T306=0,"",Q306/T306)</f>
        <v/>
      </c>
      <c r="W306" s="3">
        <f>IF(T306=0,"",R306/T306)</f>
        <v/>
      </c>
      <c r="X306" s="3">
        <f>IF(T306=0,"",S306/T306)</f>
        <v/>
      </c>
      <c r="Y306" s="4">
        <f>IF(T306=0,"",U306*Pesos!$B$2+V306*Pesos!$B$3+W306*Pesos!$B$4+X306*Pesos!$B$5)</f>
        <v/>
      </c>
    </row>
    <row r="307">
      <c r="A307" s="2" t="n">
        <v>306</v>
      </c>
      <c r="B307" t="n">
        <v>7</v>
      </c>
      <c r="C307" t="n">
        <v>389</v>
      </c>
      <c r="D307" t="n">
        <v>426</v>
      </c>
      <c r="E307" t="n">
        <v>449</v>
      </c>
      <c r="F307" t="n">
        <v>204</v>
      </c>
      <c r="G307" t="n">
        <v>223</v>
      </c>
      <c r="H307" t="n">
        <v>214</v>
      </c>
      <c r="I307" t="n">
        <v>1370</v>
      </c>
      <c r="J307" t="n">
        <v>6435</v>
      </c>
      <c r="K307" t="n">
        <v>522</v>
      </c>
      <c r="L307" t="n">
        <v>248</v>
      </c>
      <c r="M307" t="n">
        <v>88</v>
      </c>
      <c r="N307" t="n">
        <v>21</v>
      </c>
      <c r="O307" s="6" t="n">
        <v>10589</v>
      </c>
      <c r="P307">
        <f>SUM(C307:H307)</f>
        <v/>
      </c>
      <c r="Q307">
        <f>I307</f>
        <v/>
      </c>
      <c r="R307">
        <f>J307</f>
        <v/>
      </c>
      <c r="S307">
        <f>SUM(K307:N307)</f>
        <v/>
      </c>
      <c r="T307">
        <f>SUM(P307:S307)</f>
        <v/>
      </c>
      <c r="U307" s="3">
        <f>IF(T307=0,"",P307/T307)</f>
        <v/>
      </c>
      <c r="V307" s="3">
        <f>IF(T307=0,"",Q307/T307)</f>
        <v/>
      </c>
      <c r="W307" s="3">
        <f>IF(T307=0,"",R307/T307)</f>
        <v/>
      </c>
      <c r="X307" s="3">
        <f>IF(T307=0,"",S307/T307)</f>
        <v/>
      </c>
      <c r="Y307" s="4">
        <f>IF(T307=0,"",U307*Pesos!$B$2+V307*Pesos!$B$3+W307*Pesos!$B$4+X307*Pesos!$B$5)</f>
        <v/>
      </c>
    </row>
    <row r="308">
      <c r="A308" s="2" t="n">
        <v>307</v>
      </c>
      <c r="B308" t="n">
        <v>7</v>
      </c>
      <c r="C308" t="n">
        <v>935</v>
      </c>
      <c r="D308" t="n">
        <v>931</v>
      </c>
      <c r="E308" t="n">
        <v>855</v>
      </c>
      <c r="F308" t="n">
        <v>655</v>
      </c>
      <c r="G308" t="n">
        <v>542</v>
      </c>
      <c r="H308" t="n">
        <v>319</v>
      </c>
      <c r="I308" t="n">
        <v>1272</v>
      </c>
      <c r="J308" t="n">
        <v>2141</v>
      </c>
      <c r="K308" t="n">
        <v>1546</v>
      </c>
      <c r="L308" t="n">
        <v>867</v>
      </c>
      <c r="M308" t="n">
        <v>825</v>
      </c>
      <c r="N308" t="n">
        <v>115</v>
      </c>
      <c r="O308" s="6" t="n">
        <v>11003</v>
      </c>
      <c r="P308">
        <f>SUM(C308:H308)</f>
        <v/>
      </c>
      <c r="Q308">
        <f>I308</f>
        <v/>
      </c>
      <c r="R308">
        <f>J308</f>
        <v/>
      </c>
      <c r="S308">
        <f>SUM(K308:N308)</f>
        <v/>
      </c>
      <c r="T308">
        <f>SUM(P308:S308)</f>
        <v/>
      </c>
      <c r="U308" s="3">
        <f>IF(T308=0,"",P308/T308)</f>
        <v/>
      </c>
      <c r="V308" s="3">
        <f>IF(T308=0,"",Q308/T308)</f>
        <v/>
      </c>
      <c r="W308" s="3">
        <f>IF(T308=0,"",R308/T308)</f>
        <v/>
      </c>
      <c r="X308" s="3">
        <f>IF(T308=0,"",S308/T308)</f>
        <v/>
      </c>
      <c r="Y308" s="4">
        <f>IF(T308=0,"",U308*Pesos!$B$2+V308*Pesos!$B$3+W308*Pesos!$B$4+X308*Pesos!$B$5)</f>
        <v/>
      </c>
    </row>
    <row r="309">
      <c r="A309" s="2" t="n">
        <v>308</v>
      </c>
      <c r="B309" t="n">
        <v>7</v>
      </c>
      <c r="C309" t="n">
        <v>776</v>
      </c>
      <c r="D309" t="n">
        <v>633</v>
      </c>
      <c r="E309" t="n">
        <v>1122</v>
      </c>
      <c r="F309" t="n">
        <v>450</v>
      </c>
      <c r="G309" t="n">
        <v>564</v>
      </c>
      <c r="H309" t="n">
        <v>1339</v>
      </c>
      <c r="I309" t="n">
        <v>5950</v>
      </c>
      <c r="J309" t="n">
        <v>2342</v>
      </c>
      <c r="K309" t="n">
        <v>395</v>
      </c>
      <c r="L309" t="n">
        <v>176</v>
      </c>
      <c r="M309" t="n">
        <v>35</v>
      </c>
      <c r="N309" t="n">
        <v>0</v>
      </c>
      <c r="O309" s="6" t="n">
        <v>13782</v>
      </c>
      <c r="P309">
        <f>SUM(C309:H309)</f>
        <v/>
      </c>
      <c r="Q309">
        <f>I309</f>
        <v/>
      </c>
      <c r="R309">
        <f>J309</f>
        <v/>
      </c>
      <c r="S309">
        <f>SUM(K309:N309)</f>
        <v/>
      </c>
      <c r="T309">
        <f>SUM(P309:S309)</f>
        <v/>
      </c>
      <c r="U309" s="3">
        <f>IF(T309=0,"",P309/T309)</f>
        <v/>
      </c>
      <c r="V309" s="3">
        <f>IF(T309=0,"",Q309/T309)</f>
        <v/>
      </c>
      <c r="W309" s="3">
        <f>IF(T309=0,"",R309/T309)</f>
        <v/>
      </c>
      <c r="X309" s="3">
        <f>IF(T309=0,"",S309/T309)</f>
        <v/>
      </c>
      <c r="Y309" s="4">
        <f>IF(T309=0,"",U309*Pesos!$B$2+V309*Pesos!$B$3+W309*Pesos!$B$4+X309*Pesos!$B$5)</f>
        <v/>
      </c>
    </row>
    <row r="310">
      <c r="A310" s="2" t="n">
        <v>309</v>
      </c>
      <c r="B310" t="n">
        <v>10</v>
      </c>
      <c r="C310" t="n">
        <v>725</v>
      </c>
      <c r="D310" t="n">
        <v>695</v>
      </c>
      <c r="E310" t="n">
        <v>506</v>
      </c>
      <c r="F310" t="n">
        <v>416</v>
      </c>
      <c r="G310" t="n">
        <v>430</v>
      </c>
      <c r="H310" t="n">
        <v>352</v>
      </c>
      <c r="I310" t="n">
        <v>948</v>
      </c>
      <c r="J310" t="n">
        <v>1550</v>
      </c>
      <c r="K310" t="n">
        <v>2297</v>
      </c>
      <c r="L310" t="n">
        <v>1706</v>
      </c>
      <c r="M310" t="n">
        <v>1130</v>
      </c>
      <c r="N310" t="n">
        <v>3</v>
      </c>
      <c r="O310" s="6" t="n">
        <v>10758</v>
      </c>
      <c r="P310">
        <f>SUM(C310:H310)</f>
        <v/>
      </c>
      <c r="Q310">
        <f>I310</f>
        <v/>
      </c>
      <c r="R310">
        <f>J310</f>
        <v/>
      </c>
      <c r="S310">
        <f>SUM(K310:N310)</f>
        <v/>
      </c>
      <c r="T310">
        <f>SUM(P310:S310)</f>
        <v/>
      </c>
      <c r="U310" s="3">
        <f>IF(T310=0,"",P310/T310)</f>
        <v/>
      </c>
      <c r="V310" s="3">
        <f>IF(T310=0,"",Q310/T310)</f>
        <v/>
      </c>
      <c r="W310" s="3">
        <f>IF(T310=0,"",R310/T310)</f>
        <v/>
      </c>
      <c r="X310" s="3">
        <f>IF(T310=0,"",S310/T310)</f>
        <v/>
      </c>
      <c r="Y310" s="4">
        <f>IF(T310=0,"",U310*Pesos!$B$2+V310*Pesos!$B$3+W310*Pesos!$B$4+X310*Pesos!$B$5)</f>
        <v/>
      </c>
    </row>
    <row r="311">
      <c r="A311" s="2" t="n">
        <v>310</v>
      </c>
      <c r="B311" t="n">
        <v>9</v>
      </c>
      <c r="C311" t="n">
        <v>227</v>
      </c>
      <c r="D311" t="n">
        <v>225</v>
      </c>
      <c r="E311" t="n">
        <v>249</v>
      </c>
      <c r="F311" t="n">
        <v>232</v>
      </c>
      <c r="G311" t="n">
        <v>160</v>
      </c>
      <c r="H311" t="n">
        <v>136</v>
      </c>
      <c r="I311" t="n">
        <v>512</v>
      </c>
      <c r="J311" t="n">
        <v>1761</v>
      </c>
      <c r="K311" t="n">
        <v>3652</v>
      </c>
      <c r="L311" t="n">
        <v>123</v>
      </c>
      <c r="M311" t="n">
        <v>3</v>
      </c>
      <c r="N311" t="n">
        <v>0</v>
      </c>
      <c r="O311" s="6" t="n">
        <v>7280</v>
      </c>
      <c r="P311">
        <f>SUM(C311:H311)</f>
        <v/>
      </c>
      <c r="Q311">
        <f>I311</f>
        <v/>
      </c>
      <c r="R311">
        <f>J311</f>
        <v/>
      </c>
      <c r="S311">
        <f>SUM(K311:N311)</f>
        <v/>
      </c>
      <c r="T311">
        <f>SUM(P311:S311)</f>
        <v/>
      </c>
      <c r="U311" s="3">
        <f>IF(T311=0,"",P311/T311)</f>
        <v/>
      </c>
      <c r="V311" s="3">
        <f>IF(T311=0,"",Q311/T311)</f>
        <v/>
      </c>
      <c r="W311" s="3">
        <f>IF(T311=0,"",R311/T311)</f>
        <v/>
      </c>
      <c r="X311" s="3">
        <f>IF(T311=0,"",S311/T311)</f>
        <v/>
      </c>
      <c r="Y311" s="4">
        <f>IF(T311=0,"",U311*Pesos!$B$2+V311*Pesos!$B$3+W311*Pesos!$B$4+X311*Pesos!$B$5)</f>
        <v/>
      </c>
    </row>
    <row r="312">
      <c r="A312" s="2" t="n">
        <v>311</v>
      </c>
      <c r="B312" t="n">
        <v>7</v>
      </c>
      <c r="C312" t="n">
        <v>596</v>
      </c>
      <c r="D312" t="n">
        <v>366</v>
      </c>
      <c r="E312" t="n">
        <v>351</v>
      </c>
      <c r="F312" t="n">
        <v>411</v>
      </c>
      <c r="G312" t="n">
        <v>243</v>
      </c>
      <c r="H312" t="n">
        <v>443</v>
      </c>
      <c r="I312" t="n">
        <v>3705</v>
      </c>
      <c r="J312" t="n">
        <v>2200</v>
      </c>
      <c r="K312" t="n">
        <v>1525</v>
      </c>
      <c r="L312" t="n">
        <v>328</v>
      </c>
      <c r="M312" t="n">
        <v>0</v>
      </c>
      <c r="N312" t="n">
        <v>0</v>
      </c>
      <c r="O312" s="6" t="n">
        <v>10168</v>
      </c>
      <c r="P312">
        <f>SUM(C312:H312)</f>
        <v/>
      </c>
      <c r="Q312">
        <f>I312</f>
        <v/>
      </c>
      <c r="R312">
        <f>J312</f>
        <v/>
      </c>
      <c r="S312">
        <f>SUM(K312:N312)</f>
        <v/>
      </c>
      <c r="T312">
        <f>SUM(P312:S312)</f>
        <v/>
      </c>
      <c r="U312" s="3">
        <f>IF(T312=0,"",P312/T312)</f>
        <v/>
      </c>
      <c r="V312" s="3">
        <f>IF(T312=0,"",Q312/T312)</f>
        <v/>
      </c>
      <c r="W312" s="3">
        <f>IF(T312=0,"",R312/T312)</f>
        <v/>
      </c>
      <c r="X312" s="3">
        <f>IF(T312=0,"",S312/T312)</f>
        <v/>
      </c>
      <c r="Y312" s="4">
        <f>IF(T312=0,"",U312*Pesos!$B$2+V312*Pesos!$B$3+W312*Pesos!$B$4+X312*Pesos!$B$5)</f>
        <v/>
      </c>
    </row>
    <row r="313">
      <c r="A313" s="2" t="n">
        <v>312</v>
      </c>
      <c r="B313" t="n">
        <v>8</v>
      </c>
      <c r="C313" t="n">
        <v>267</v>
      </c>
      <c r="D313" t="n">
        <v>235</v>
      </c>
      <c r="E313" t="n">
        <v>309</v>
      </c>
      <c r="F313" t="n">
        <v>183</v>
      </c>
      <c r="G313" t="n">
        <v>177</v>
      </c>
      <c r="H313" t="n">
        <v>120</v>
      </c>
      <c r="I313" t="n">
        <v>575</v>
      </c>
      <c r="J313" t="n">
        <v>1703</v>
      </c>
      <c r="K313" t="n">
        <v>2407</v>
      </c>
      <c r="L313" t="n">
        <v>2206</v>
      </c>
      <c r="M313" t="n">
        <v>13</v>
      </c>
      <c r="N313" t="n">
        <v>0</v>
      </c>
      <c r="O313" s="6" t="n">
        <v>8195</v>
      </c>
      <c r="P313">
        <f>SUM(C313:H313)</f>
        <v/>
      </c>
      <c r="Q313">
        <f>I313</f>
        <v/>
      </c>
      <c r="R313">
        <f>J313</f>
        <v/>
      </c>
      <c r="S313">
        <f>SUM(K313:N313)</f>
        <v/>
      </c>
      <c r="T313">
        <f>SUM(P313:S313)</f>
        <v/>
      </c>
      <c r="U313" s="3">
        <f>IF(T313=0,"",P313/T313)</f>
        <v/>
      </c>
      <c r="V313" s="3">
        <f>IF(T313=0,"",Q313/T313)</f>
        <v/>
      </c>
      <c r="W313" s="3">
        <f>IF(T313=0,"",R313/T313)</f>
        <v/>
      </c>
      <c r="X313" s="3">
        <f>IF(T313=0,"",S313/T313)</f>
        <v/>
      </c>
      <c r="Y313" s="4">
        <f>IF(T313=0,"",U313*Pesos!$B$2+V313*Pesos!$B$3+W313*Pesos!$B$4+X313*Pesos!$B$5)</f>
        <v/>
      </c>
    </row>
    <row r="314">
      <c r="A314" s="2" t="n">
        <v>313</v>
      </c>
      <c r="B314" t="n">
        <v>8</v>
      </c>
      <c r="C314" t="n">
        <v>396</v>
      </c>
      <c r="D314" t="n">
        <v>382</v>
      </c>
      <c r="E314" t="n">
        <v>374</v>
      </c>
      <c r="F314" t="n">
        <v>262</v>
      </c>
      <c r="G314" t="n">
        <v>227</v>
      </c>
      <c r="H314" t="n">
        <v>136</v>
      </c>
      <c r="I314" t="n">
        <v>702</v>
      </c>
      <c r="J314" t="n">
        <v>1391</v>
      </c>
      <c r="K314" t="n">
        <v>3041</v>
      </c>
      <c r="L314" t="n">
        <v>1256</v>
      </c>
      <c r="M314" t="n">
        <v>438</v>
      </c>
      <c r="N314" t="n">
        <v>0</v>
      </c>
      <c r="O314" s="6" t="n">
        <v>8605</v>
      </c>
      <c r="P314">
        <f>SUM(C314:H314)</f>
        <v/>
      </c>
      <c r="Q314">
        <f>I314</f>
        <v/>
      </c>
      <c r="R314">
        <f>J314</f>
        <v/>
      </c>
      <c r="S314">
        <f>SUM(K314:N314)</f>
        <v/>
      </c>
      <c r="T314">
        <f>SUM(P314:S314)</f>
        <v/>
      </c>
      <c r="U314" s="3">
        <f>IF(T314=0,"",P314/T314)</f>
        <v/>
      </c>
      <c r="V314" s="3">
        <f>IF(T314=0,"",Q314/T314)</f>
        <v/>
      </c>
      <c r="W314" s="3">
        <f>IF(T314=0,"",R314/T314)</f>
        <v/>
      </c>
      <c r="X314" s="3">
        <f>IF(T314=0,"",S314/T314)</f>
        <v/>
      </c>
      <c r="Y314" s="4">
        <f>IF(T314=0,"",U314*Pesos!$B$2+V314*Pesos!$B$3+W314*Pesos!$B$4+X314*Pesos!$B$5)</f>
        <v/>
      </c>
    </row>
    <row r="315">
      <c r="A315" s="2" t="n">
        <v>314</v>
      </c>
      <c r="B315" t="n">
        <v>7</v>
      </c>
      <c r="C315" t="n">
        <v>635</v>
      </c>
      <c r="D315" t="n">
        <v>607</v>
      </c>
      <c r="E315" t="n">
        <v>476</v>
      </c>
      <c r="F315" t="n">
        <v>311</v>
      </c>
      <c r="G315" t="n">
        <v>201</v>
      </c>
      <c r="H315" t="n">
        <v>249</v>
      </c>
      <c r="I315" t="n">
        <v>2574</v>
      </c>
      <c r="J315" t="n">
        <v>5389</v>
      </c>
      <c r="K315" t="n">
        <v>844</v>
      </c>
      <c r="L315" t="n">
        <v>198</v>
      </c>
      <c r="M315" t="n">
        <v>0</v>
      </c>
      <c r="N315" t="n">
        <v>0</v>
      </c>
      <c r="O315" s="6" t="n">
        <v>11484</v>
      </c>
      <c r="P315">
        <f>SUM(C315:H315)</f>
        <v/>
      </c>
      <c r="Q315">
        <f>I315</f>
        <v/>
      </c>
      <c r="R315">
        <f>J315</f>
        <v/>
      </c>
      <c r="S315">
        <f>SUM(K315:N315)</f>
        <v/>
      </c>
      <c r="T315">
        <f>SUM(P315:S315)</f>
        <v/>
      </c>
      <c r="U315" s="3">
        <f>IF(T315=0,"",P315/T315)</f>
        <v/>
      </c>
      <c r="V315" s="3">
        <f>IF(T315=0,"",Q315/T315)</f>
        <v/>
      </c>
      <c r="W315" s="3">
        <f>IF(T315=0,"",R315/T315)</f>
        <v/>
      </c>
      <c r="X315" s="3">
        <f>IF(T315=0,"",S315/T315)</f>
        <v/>
      </c>
      <c r="Y315" s="4">
        <f>IF(T315=0,"",U315*Pesos!$B$2+V315*Pesos!$B$3+W315*Pesos!$B$4+X315*Pesos!$B$5)</f>
        <v/>
      </c>
    </row>
    <row r="316">
      <c r="A316" s="2" t="n">
        <v>315</v>
      </c>
      <c r="B316" t="n">
        <v>10</v>
      </c>
      <c r="C316" t="n">
        <v>367</v>
      </c>
      <c r="D316" t="n">
        <v>422</v>
      </c>
      <c r="E316" t="n">
        <v>440</v>
      </c>
      <c r="F316" t="n">
        <v>327</v>
      </c>
      <c r="G316" t="n">
        <v>298</v>
      </c>
      <c r="H316" t="n">
        <v>193</v>
      </c>
      <c r="I316" t="n">
        <v>1052</v>
      </c>
      <c r="J316" t="n">
        <v>1458</v>
      </c>
      <c r="K316" t="n">
        <v>2578</v>
      </c>
      <c r="L316" t="n">
        <v>2647</v>
      </c>
      <c r="M316" t="n">
        <v>670</v>
      </c>
      <c r="N316" t="n">
        <v>47</v>
      </c>
      <c r="O316" s="6" t="n">
        <v>10499</v>
      </c>
      <c r="P316">
        <f>SUM(C316:H316)</f>
        <v/>
      </c>
      <c r="Q316">
        <f>I316</f>
        <v/>
      </c>
      <c r="R316">
        <f>J316</f>
        <v/>
      </c>
      <c r="S316">
        <f>SUM(K316:N316)</f>
        <v/>
      </c>
      <c r="T316">
        <f>SUM(P316:S316)</f>
        <v/>
      </c>
      <c r="U316" s="3">
        <f>IF(T316=0,"",P316/T316)</f>
        <v/>
      </c>
      <c r="V316" s="3">
        <f>IF(T316=0,"",Q316/T316)</f>
        <v/>
      </c>
      <c r="W316" s="3">
        <f>IF(T316=0,"",R316/T316)</f>
        <v/>
      </c>
      <c r="X316" s="3">
        <f>IF(T316=0,"",S316/T316)</f>
        <v/>
      </c>
      <c r="Y316" s="4">
        <f>IF(T316=0,"",U316*Pesos!$B$2+V316*Pesos!$B$3+W316*Pesos!$B$4+X316*Pesos!$B$5)</f>
        <v/>
      </c>
    </row>
    <row r="317">
      <c r="A317" s="2" t="n">
        <v>316</v>
      </c>
      <c r="B317" t="n">
        <v>7</v>
      </c>
      <c r="C317" t="n">
        <v>324</v>
      </c>
      <c r="D317" t="n">
        <v>407</v>
      </c>
      <c r="E317" t="n">
        <v>411</v>
      </c>
      <c r="F317" t="n">
        <v>291</v>
      </c>
      <c r="G317" t="n">
        <v>259</v>
      </c>
      <c r="H317" t="n">
        <v>151</v>
      </c>
      <c r="I317" t="n">
        <v>655</v>
      </c>
      <c r="J317" t="n">
        <v>1216</v>
      </c>
      <c r="K317" t="n">
        <v>1793</v>
      </c>
      <c r="L317" t="n">
        <v>2699</v>
      </c>
      <c r="M317" t="n">
        <v>51</v>
      </c>
      <c r="N317" t="n">
        <v>0</v>
      </c>
      <c r="O317" s="6" t="n">
        <v>8257</v>
      </c>
      <c r="P317">
        <f>SUM(C317:H317)</f>
        <v/>
      </c>
      <c r="Q317">
        <f>I317</f>
        <v/>
      </c>
      <c r="R317">
        <f>J317</f>
        <v/>
      </c>
      <c r="S317">
        <f>SUM(K317:N317)</f>
        <v/>
      </c>
      <c r="T317">
        <f>SUM(P317:S317)</f>
        <v/>
      </c>
      <c r="U317" s="3">
        <f>IF(T317=0,"",P317/T317)</f>
        <v/>
      </c>
      <c r="V317" s="3">
        <f>IF(T317=0,"",Q317/T317)</f>
        <v/>
      </c>
      <c r="W317" s="3">
        <f>IF(T317=0,"",R317/T317)</f>
        <v/>
      </c>
      <c r="X317" s="3">
        <f>IF(T317=0,"",S317/T317)</f>
        <v/>
      </c>
      <c r="Y317" s="4">
        <f>IF(T317=0,"",U317*Pesos!$B$2+V317*Pesos!$B$3+W317*Pesos!$B$4+X317*Pesos!$B$5)</f>
        <v/>
      </c>
    </row>
    <row r="318">
      <c r="A318" s="2" t="n">
        <v>317</v>
      </c>
      <c r="B318" t="n">
        <v>7</v>
      </c>
      <c r="C318" t="n">
        <v>297</v>
      </c>
      <c r="D318" t="n">
        <v>265</v>
      </c>
      <c r="E318" t="n">
        <v>290</v>
      </c>
      <c r="F318" t="n">
        <v>220</v>
      </c>
      <c r="G318" t="n">
        <v>164</v>
      </c>
      <c r="H318" t="n">
        <v>128</v>
      </c>
      <c r="I318" t="n">
        <v>572</v>
      </c>
      <c r="J318" t="n">
        <v>1479</v>
      </c>
      <c r="K318" t="n">
        <v>3583</v>
      </c>
      <c r="L318" t="n">
        <v>1394</v>
      </c>
      <c r="M318" t="n">
        <v>0</v>
      </c>
      <c r="N318" t="n">
        <v>0</v>
      </c>
      <c r="O318" s="6" t="n">
        <v>8392</v>
      </c>
      <c r="P318">
        <f>SUM(C318:H318)</f>
        <v/>
      </c>
      <c r="Q318">
        <f>I318</f>
        <v/>
      </c>
      <c r="R318">
        <f>J318</f>
        <v/>
      </c>
      <c r="S318">
        <f>SUM(K318:N318)</f>
        <v/>
      </c>
      <c r="T318">
        <f>SUM(P318:S318)</f>
        <v/>
      </c>
      <c r="U318" s="3">
        <f>IF(T318=0,"",P318/T318)</f>
        <v/>
      </c>
      <c r="V318" s="3">
        <f>IF(T318=0,"",Q318/T318)</f>
        <v/>
      </c>
      <c r="W318" s="3">
        <f>IF(T318=0,"",R318/T318)</f>
        <v/>
      </c>
      <c r="X318" s="3">
        <f>IF(T318=0,"",S318/T318)</f>
        <v/>
      </c>
      <c r="Y318" s="4">
        <f>IF(T318=0,"",U318*Pesos!$B$2+V318*Pesos!$B$3+W318*Pesos!$B$4+X318*Pesos!$B$5)</f>
        <v/>
      </c>
    </row>
    <row r="319">
      <c r="A319" s="2" t="n">
        <v>318</v>
      </c>
      <c r="B319" t="n">
        <v>7</v>
      </c>
      <c r="C319" t="n">
        <v>325</v>
      </c>
      <c r="D319" t="n">
        <v>351</v>
      </c>
      <c r="E319" t="n">
        <v>276</v>
      </c>
      <c r="F319" t="n">
        <v>230</v>
      </c>
      <c r="G319" t="n">
        <v>194</v>
      </c>
      <c r="H319" t="n">
        <v>145</v>
      </c>
      <c r="I319" t="n">
        <v>508</v>
      </c>
      <c r="J319" t="n">
        <v>813</v>
      </c>
      <c r="K319" t="n">
        <v>3339</v>
      </c>
      <c r="L319" t="n">
        <v>1002</v>
      </c>
      <c r="M319" t="n">
        <v>0</v>
      </c>
      <c r="N319" t="n">
        <v>0</v>
      </c>
      <c r="O319" s="6" t="n">
        <v>7183</v>
      </c>
      <c r="P319">
        <f>SUM(C319:H319)</f>
        <v/>
      </c>
      <c r="Q319">
        <f>I319</f>
        <v/>
      </c>
      <c r="R319">
        <f>J319</f>
        <v/>
      </c>
      <c r="S319">
        <f>SUM(K319:N319)</f>
        <v/>
      </c>
      <c r="T319">
        <f>SUM(P319:S319)</f>
        <v/>
      </c>
      <c r="U319" s="3">
        <f>IF(T319=0,"",P319/T319)</f>
        <v/>
      </c>
      <c r="V319" s="3">
        <f>IF(T319=0,"",Q319/T319)</f>
        <v/>
      </c>
      <c r="W319" s="3">
        <f>IF(T319=0,"",R319/T319)</f>
        <v/>
      </c>
      <c r="X319" s="3">
        <f>IF(T319=0,"",S319/T319)</f>
        <v/>
      </c>
      <c r="Y319" s="4">
        <f>IF(T319=0,"",U319*Pesos!$B$2+V319*Pesos!$B$3+W319*Pesos!$B$4+X319*Pesos!$B$5)</f>
        <v/>
      </c>
    </row>
    <row r="320">
      <c r="A320" s="2" t="n">
        <v>319</v>
      </c>
      <c r="B320" t="n">
        <v>7</v>
      </c>
      <c r="C320" t="n">
        <v>317</v>
      </c>
      <c r="D320" t="n">
        <v>322</v>
      </c>
      <c r="E320" t="n">
        <v>327</v>
      </c>
      <c r="F320" t="n">
        <v>260</v>
      </c>
      <c r="G320" t="n">
        <v>183</v>
      </c>
      <c r="H320" t="n">
        <v>108</v>
      </c>
      <c r="I320" t="n">
        <v>538</v>
      </c>
      <c r="J320" t="n">
        <v>890</v>
      </c>
      <c r="K320" t="n">
        <v>1521</v>
      </c>
      <c r="L320" t="n">
        <v>2283</v>
      </c>
      <c r="M320" t="n">
        <v>51</v>
      </c>
      <c r="N320" t="n">
        <v>0</v>
      </c>
      <c r="O320" s="6" t="n">
        <v>6800</v>
      </c>
      <c r="P320">
        <f>SUM(C320:H320)</f>
        <v/>
      </c>
      <c r="Q320">
        <f>I320</f>
        <v/>
      </c>
      <c r="R320">
        <f>J320</f>
        <v/>
      </c>
      <c r="S320">
        <f>SUM(K320:N320)</f>
        <v/>
      </c>
      <c r="T320">
        <f>SUM(P320:S320)</f>
        <v/>
      </c>
      <c r="U320" s="3">
        <f>IF(T320=0,"",P320/T320)</f>
        <v/>
      </c>
      <c r="V320" s="3">
        <f>IF(T320=0,"",Q320/T320)</f>
        <v/>
      </c>
      <c r="W320" s="3">
        <f>IF(T320=0,"",R320/T320)</f>
        <v/>
      </c>
      <c r="X320" s="3">
        <f>IF(T320=0,"",S320/T320)</f>
        <v/>
      </c>
      <c r="Y320" s="4">
        <f>IF(T320=0,"",U320*Pesos!$B$2+V320*Pesos!$B$3+W320*Pesos!$B$4+X320*Pesos!$B$5)</f>
        <v/>
      </c>
    </row>
    <row r="321">
      <c r="A321" s="2" t="n">
        <v>320</v>
      </c>
      <c r="B321" t="n">
        <v>7</v>
      </c>
      <c r="C321" t="n">
        <v>249</v>
      </c>
      <c r="D321" t="n">
        <v>380</v>
      </c>
      <c r="E321" t="n">
        <v>268</v>
      </c>
      <c r="F321" t="n">
        <v>225</v>
      </c>
      <c r="G321" t="n">
        <v>143</v>
      </c>
      <c r="H321" t="n">
        <v>109</v>
      </c>
      <c r="I321" t="n">
        <v>447</v>
      </c>
      <c r="J321" t="n">
        <v>983</v>
      </c>
      <c r="K321" t="n">
        <v>1668</v>
      </c>
      <c r="L321" t="n">
        <v>2246</v>
      </c>
      <c r="M321" t="n">
        <v>0</v>
      </c>
      <c r="N321" t="n">
        <v>0</v>
      </c>
      <c r="O321" s="6" t="n">
        <v>6718</v>
      </c>
      <c r="P321">
        <f>SUM(C321:H321)</f>
        <v/>
      </c>
      <c r="Q321">
        <f>I321</f>
        <v/>
      </c>
      <c r="R321">
        <f>J321</f>
        <v/>
      </c>
      <c r="S321">
        <f>SUM(K321:N321)</f>
        <v/>
      </c>
      <c r="T321">
        <f>SUM(P321:S321)</f>
        <v/>
      </c>
      <c r="U321" s="3">
        <f>IF(T321=0,"",P321/T321)</f>
        <v/>
      </c>
      <c r="V321" s="3">
        <f>IF(T321=0,"",Q321/T321)</f>
        <v/>
      </c>
      <c r="W321" s="3">
        <f>IF(T321=0,"",R321/T321)</f>
        <v/>
      </c>
      <c r="X321" s="3">
        <f>IF(T321=0,"",S321/T321)</f>
        <v/>
      </c>
      <c r="Y321" s="4">
        <f>IF(T321=0,"",U321*Pesos!$B$2+V321*Pesos!$B$3+W321*Pesos!$B$4+X321*Pesos!$B$5)</f>
        <v/>
      </c>
    </row>
    <row r="322">
      <c r="A322" s="2" t="n">
        <v>321</v>
      </c>
      <c r="B322" t="n">
        <v>5</v>
      </c>
      <c r="C322" t="n">
        <v>1237</v>
      </c>
      <c r="D322" t="n">
        <v>1743</v>
      </c>
      <c r="E322" t="n">
        <v>2172</v>
      </c>
      <c r="F322" t="n">
        <v>1194</v>
      </c>
      <c r="G322" t="n">
        <v>401</v>
      </c>
      <c r="H322" t="n">
        <v>850</v>
      </c>
      <c r="I322" t="n">
        <v>2567</v>
      </c>
      <c r="J322" t="n">
        <v>1139</v>
      </c>
      <c r="K322" t="n">
        <v>375</v>
      </c>
      <c r="L322" t="n">
        <v>1</v>
      </c>
      <c r="M322" t="n">
        <v>0</v>
      </c>
      <c r="N322" t="n">
        <v>0</v>
      </c>
      <c r="O322" s="6" t="n">
        <v>11679</v>
      </c>
      <c r="P322">
        <f>SUM(C322:H322)</f>
        <v/>
      </c>
      <c r="Q322">
        <f>I322</f>
        <v/>
      </c>
      <c r="R322">
        <f>J322</f>
        <v/>
      </c>
      <c r="S322">
        <f>SUM(K322:N322)</f>
        <v/>
      </c>
      <c r="T322">
        <f>SUM(P322:S322)</f>
        <v/>
      </c>
      <c r="U322" s="3">
        <f>IF(T322=0,"",P322/T322)</f>
        <v/>
      </c>
      <c r="V322" s="3">
        <f>IF(T322=0,"",Q322/T322)</f>
        <v/>
      </c>
      <c r="W322" s="3">
        <f>IF(T322=0,"",R322/T322)</f>
        <v/>
      </c>
      <c r="X322" s="3">
        <f>IF(T322=0,"",S322/T322)</f>
        <v/>
      </c>
      <c r="Y322" s="4">
        <f>IF(T322=0,"",U322*Pesos!$B$2+V322*Pesos!$B$3+W322*Pesos!$B$4+X322*Pesos!$B$5)</f>
        <v/>
      </c>
    </row>
    <row r="323">
      <c r="A323" s="2" t="n">
        <v>322</v>
      </c>
      <c r="B323" t="n">
        <v>9</v>
      </c>
      <c r="C323" t="n">
        <v>498</v>
      </c>
      <c r="D323" t="n">
        <v>477</v>
      </c>
      <c r="E323" t="n">
        <v>581</v>
      </c>
      <c r="F323" t="n">
        <v>465</v>
      </c>
      <c r="G323" t="n">
        <v>277</v>
      </c>
      <c r="H323" t="n">
        <v>269</v>
      </c>
      <c r="I323" t="n">
        <v>939</v>
      </c>
      <c r="J323" t="n">
        <v>1649</v>
      </c>
      <c r="K323" t="n">
        <v>2073</v>
      </c>
      <c r="L323" t="n">
        <v>2467</v>
      </c>
      <c r="M323" t="n">
        <v>639</v>
      </c>
      <c r="N323" t="n">
        <v>7</v>
      </c>
      <c r="O323" s="6" t="n">
        <v>10341</v>
      </c>
      <c r="P323">
        <f>SUM(C323:H323)</f>
        <v/>
      </c>
      <c r="Q323">
        <f>I323</f>
        <v/>
      </c>
      <c r="R323">
        <f>J323</f>
        <v/>
      </c>
      <c r="S323">
        <f>SUM(K323:N323)</f>
        <v/>
      </c>
      <c r="T323">
        <f>SUM(P323:S323)</f>
        <v/>
      </c>
      <c r="U323" s="3">
        <f>IF(T323=0,"",P323/T323)</f>
        <v/>
      </c>
      <c r="V323" s="3">
        <f>IF(T323=0,"",Q323/T323)</f>
        <v/>
      </c>
      <c r="W323" s="3">
        <f>IF(T323=0,"",R323/T323)</f>
        <v/>
      </c>
      <c r="X323" s="3">
        <f>IF(T323=0,"",S323/T323)</f>
        <v/>
      </c>
      <c r="Y323" s="4">
        <f>IF(T323=0,"",U323*Pesos!$B$2+V323*Pesos!$B$3+W323*Pesos!$B$4+X323*Pesos!$B$5)</f>
        <v/>
      </c>
    </row>
    <row r="324">
      <c r="A324" s="2" t="n">
        <v>323</v>
      </c>
      <c r="B324" t="n">
        <v>8</v>
      </c>
      <c r="C324" t="n">
        <v>467</v>
      </c>
      <c r="D324" t="n">
        <v>491</v>
      </c>
      <c r="E324" t="n">
        <v>426</v>
      </c>
      <c r="F324" t="n">
        <v>360</v>
      </c>
      <c r="G324" t="n">
        <v>227</v>
      </c>
      <c r="H324" t="n">
        <v>167</v>
      </c>
      <c r="I324" t="n">
        <v>569</v>
      </c>
      <c r="J324" t="n">
        <v>1200</v>
      </c>
      <c r="K324" t="n">
        <v>1932</v>
      </c>
      <c r="L324" t="n">
        <v>2246</v>
      </c>
      <c r="M324" t="n">
        <v>5</v>
      </c>
      <c r="N324" t="n">
        <v>0</v>
      </c>
      <c r="O324" s="6" t="n">
        <v>8090</v>
      </c>
      <c r="P324">
        <f>SUM(C324:H324)</f>
        <v/>
      </c>
      <c r="Q324">
        <f>I324</f>
        <v/>
      </c>
      <c r="R324">
        <f>J324</f>
        <v/>
      </c>
      <c r="S324">
        <f>SUM(K324:N324)</f>
        <v/>
      </c>
      <c r="T324">
        <f>SUM(P324:S324)</f>
        <v/>
      </c>
      <c r="U324" s="3">
        <f>IF(T324=0,"",P324/T324)</f>
        <v/>
      </c>
      <c r="V324" s="3">
        <f>IF(T324=0,"",Q324/T324)</f>
        <v/>
      </c>
      <c r="W324" s="3">
        <f>IF(T324=0,"",R324/T324)</f>
        <v/>
      </c>
      <c r="X324" s="3">
        <f>IF(T324=0,"",S324/T324)</f>
        <v/>
      </c>
      <c r="Y324" s="4">
        <f>IF(T324=0,"",U324*Pesos!$B$2+V324*Pesos!$B$3+W324*Pesos!$B$4+X324*Pesos!$B$5)</f>
        <v/>
      </c>
    </row>
    <row r="325">
      <c r="A325" s="2" t="n">
        <v>324</v>
      </c>
      <c r="B325" t="n">
        <v>7</v>
      </c>
      <c r="C325" t="n">
        <v>388</v>
      </c>
      <c r="D325" t="n">
        <v>369</v>
      </c>
      <c r="E325" t="n">
        <v>389</v>
      </c>
      <c r="F325" t="n">
        <v>291</v>
      </c>
      <c r="G325" t="n">
        <v>182</v>
      </c>
      <c r="H325" t="n">
        <v>183</v>
      </c>
      <c r="I325" t="n">
        <v>536</v>
      </c>
      <c r="J325" t="n">
        <v>883</v>
      </c>
      <c r="K325" t="n">
        <v>966</v>
      </c>
      <c r="L325" t="n">
        <v>2265</v>
      </c>
      <c r="M325" t="n">
        <v>459</v>
      </c>
      <c r="N325" t="n">
        <v>0</v>
      </c>
      <c r="O325" s="6" t="n">
        <v>6911</v>
      </c>
      <c r="P325">
        <f>SUM(C325:H325)</f>
        <v/>
      </c>
      <c r="Q325">
        <f>I325</f>
        <v/>
      </c>
      <c r="R325">
        <f>J325</f>
        <v/>
      </c>
      <c r="S325">
        <f>SUM(K325:N325)</f>
        <v/>
      </c>
      <c r="T325">
        <f>SUM(P325:S325)</f>
        <v/>
      </c>
      <c r="U325" s="3">
        <f>IF(T325=0,"",P325/T325)</f>
        <v/>
      </c>
      <c r="V325" s="3">
        <f>IF(T325=0,"",Q325/T325)</f>
        <v/>
      </c>
      <c r="W325" s="3">
        <f>IF(T325=0,"",R325/T325)</f>
        <v/>
      </c>
      <c r="X325" s="3">
        <f>IF(T325=0,"",S325/T325)</f>
        <v/>
      </c>
      <c r="Y325" s="4">
        <f>IF(T325=0,"",U325*Pesos!$B$2+V325*Pesos!$B$3+W325*Pesos!$B$4+X325*Pesos!$B$5)</f>
        <v/>
      </c>
    </row>
    <row r="326">
      <c r="A326" s="2" t="n">
        <v>325</v>
      </c>
      <c r="B326" t="n">
        <v>8</v>
      </c>
      <c r="C326" t="n">
        <v>539</v>
      </c>
      <c r="D326" t="n">
        <v>541</v>
      </c>
      <c r="E326" t="n">
        <v>579</v>
      </c>
      <c r="F326" t="n">
        <v>511</v>
      </c>
      <c r="G326" t="n">
        <v>311</v>
      </c>
      <c r="H326" t="n">
        <v>246</v>
      </c>
      <c r="I326" t="n">
        <v>922</v>
      </c>
      <c r="J326" t="n">
        <v>1222</v>
      </c>
      <c r="K326" t="n">
        <v>1294</v>
      </c>
      <c r="L326" t="n">
        <v>3004</v>
      </c>
      <c r="M326" t="n">
        <v>406</v>
      </c>
      <c r="N326" t="n">
        <v>0</v>
      </c>
      <c r="O326" s="6" t="n">
        <v>9575</v>
      </c>
      <c r="P326">
        <f>SUM(C326:H326)</f>
        <v/>
      </c>
      <c r="Q326">
        <f>I326</f>
        <v/>
      </c>
      <c r="R326">
        <f>J326</f>
        <v/>
      </c>
      <c r="S326">
        <f>SUM(K326:N326)</f>
        <v/>
      </c>
      <c r="T326">
        <f>SUM(P326:S326)</f>
        <v/>
      </c>
      <c r="U326" s="3">
        <f>IF(T326=0,"",P326/T326)</f>
        <v/>
      </c>
      <c r="V326" s="3">
        <f>IF(T326=0,"",Q326/T326)</f>
        <v/>
      </c>
      <c r="W326" s="3">
        <f>IF(T326=0,"",R326/T326)</f>
        <v/>
      </c>
      <c r="X326" s="3">
        <f>IF(T326=0,"",S326/T326)</f>
        <v/>
      </c>
      <c r="Y326" s="4">
        <f>IF(T326=0,"",U326*Pesos!$B$2+V326*Pesos!$B$3+W326*Pesos!$B$4+X326*Pesos!$B$5)</f>
        <v/>
      </c>
    </row>
    <row r="327">
      <c r="A327" s="2" t="n">
        <v>326</v>
      </c>
      <c r="B327" t="n">
        <v>7</v>
      </c>
      <c r="C327" t="n">
        <v>671</v>
      </c>
      <c r="D327" t="n">
        <v>702</v>
      </c>
      <c r="E327" t="n">
        <v>762</v>
      </c>
      <c r="F327" t="n">
        <v>378</v>
      </c>
      <c r="G327" t="n">
        <v>529</v>
      </c>
      <c r="H327" t="n">
        <v>309</v>
      </c>
      <c r="I327" t="n">
        <v>911</v>
      </c>
      <c r="J327" t="n">
        <v>1534</v>
      </c>
      <c r="K327" t="n">
        <v>1758</v>
      </c>
      <c r="L327" t="n">
        <v>1372</v>
      </c>
      <c r="M327" t="n">
        <v>606</v>
      </c>
      <c r="N327" t="n">
        <v>9</v>
      </c>
      <c r="O327" s="6" t="n">
        <v>9541</v>
      </c>
      <c r="P327">
        <f>SUM(C327:H327)</f>
        <v/>
      </c>
      <c r="Q327">
        <f>I327</f>
        <v/>
      </c>
      <c r="R327">
        <f>J327</f>
        <v/>
      </c>
      <c r="S327">
        <f>SUM(K327:N327)</f>
        <v/>
      </c>
      <c r="T327">
        <f>SUM(P327:S327)</f>
        <v/>
      </c>
      <c r="U327" s="3">
        <f>IF(T327=0,"",P327/T327)</f>
        <v/>
      </c>
      <c r="V327" s="3">
        <f>IF(T327=0,"",Q327/T327)</f>
        <v/>
      </c>
      <c r="W327" s="3">
        <f>IF(T327=0,"",R327/T327)</f>
        <v/>
      </c>
      <c r="X327" s="3">
        <f>IF(T327=0,"",S327/T327)</f>
        <v/>
      </c>
      <c r="Y327" s="4">
        <f>IF(T327=0,"",U327*Pesos!$B$2+V327*Pesos!$B$3+W327*Pesos!$B$4+X327*Pesos!$B$5)</f>
        <v/>
      </c>
    </row>
    <row r="328">
      <c r="A328" s="2" t="n">
        <v>327</v>
      </c>
      <c r="B328" t="n">
        <v>7</v>
      </c>
      <c r="C328" t="n">
        <v>572</v>
      </c>
      <c r="D328" t="n">
        <v>626</v>
      </c>
      <c r="E328" t="n">
        <v>683</v>
      </c>
      <c r="F328" t="n">
        <v>677</v>
      </c>
      <c r="G328" t="n">
        <v>650</v>
      </c>
      <c r="H328" t="n">
        <v>470</v>
      </c>
      <c r="I328" t="n">
        <v>845</v>
      </c>
      <c r="J328" t="n">
        <v>1904</v>
      </c>
      <c r="K328" t="n">
        <v>2636</v>
      </c>
      <c r="L328" t="n">
        <v>1062</v>
      </c>
      <c r="M328" t="n">
        <v>145</v>
      </c>
      <c r="N328" t="n">
        <v>0</v>
      </c>
      <c r="O328" s="6" t="n">
        <v>10270</v>
      </c>
      <c r="P328">
        <f>SUM(C328:H328)</f>
        <v/>
      </c>
      <c r="Q328">
        <f>I328</f>
        <v/>
      </c>
      <c r="R328">
        <f>J328</f>
        <v/>
      </c>
      <c r="S328">
        <f>SUM(K328:N328)</f>
        <v/>
      </c>
      <c r="T328">
        <f>SUM(P328:S328)</f>
        <v/>
      </c>
      <c r="U328" s="3">
        <f>IF(T328=0,"",P328/T328)</f>
        <v/>
      </c>
      <c r="V328" s="3">
        <f>IF(T328=0,"",Q328/T328)</f>
        <v/>
      </c>
      <c r="W328" s="3">
        <f>IF(T328=0,"",R328/T328)</f>
        <v/>
      </c>
      <c r="X328" s="3">
        <f>IF(T328=0,"",S328/T328)</f>
        <v/>
      </c>
      <c r="Y328" s="4">
        <f>IF(T328=0,"",U328*Pesos!$B$2+V328*Pesos!$B$3+W328*Pesos!$B$4+X328*Pesos!$B$5)</f>
        <v/>
      </c>
    </row>
    <row r="329">
      <c r="A329" s="2" t="n">
        <v>328</v>
      </c>
      <c r="B329" t="n">
        <v>8</v>
      </c>
      <c r="C329" t="n">
        <v>633</v>
      </c>
      <c r="D329" t="n">
        <v>623</v>
      </c>
      <c r="E329" t="n">
        <v>740</v>
      </c>
      <c r="F329" t="n">
        <v>588</v>
      </c>
      <c r="G329" t="n">
        <v>422</v>
      </c>
      <c r="H329" t="n">
        <v>271</v>
      </c>
      <c r="I329" t="n">
        <v>862</v>
      </c>
      <c r="J329" t="n">
        <v>2478</v>
      </c>
      <c r="K329" t="n">
        <v>2242</v>
      </c>
      <c r="L329" t="n">
        <v>1726</v>
      </c>
      <c r="M329" t="n">
        <v>212</v>
      </c>
      <c r="N329" t="n">
        <v>3</v>
      </c>
      <c r="O329" s="6" t="n">
        <v>10800</v>
      </c>
      <c r="P329">
        <f>SUM(C329:H329)</f>
        <v/>
      </c>
      <c r="Q329">
        <f>I329</f>
        <v/>
      </c>
      <c r="R329">
        <f>J329</f>
        <v/>
      </c>
      <c r="S329">
        <f>SUM(K329:N329)</f>
        <v/>
      </c>
      <c r="T329">
        <f>SUM(P329:S329)</f>
        <v/>
      </c>
      <c r="U329" s="3">
        <f>IF(T329=0,"",P329/T329)</f>
        <v/>
      </c>
      <c r="V329" s="3">
        <f>IF(T329=0,"",Q329/T329)</f>
        <v/>
      </c>
      <c r="W329" s="3">
        <f>IF(T329=0,"",R329/T329)</f>
        <v/>
      </c>
      <c r="X329" s="3">
        <f>IF(T329=0,"",S329/T329)</f>
        <v/>
      </c>
      <c r="Y329" s="4">
        <f>IF(T329=0,"",U329*Pesos!$B$2+V329*Pesos!$B$3+W329*Pesos!$B$4+X329*Pesos!$B$5)</f>
        <v/>
      </c>
    </row>
    <row r="330">
      <c r="A330" s="2" t="n">
        <v>329</v>
      </c>
      <c r="B330" t="n">
        <v>7</v>
      </c>
      <c r="C330" t="n">
        <v>477</v>
      </c>
      <c r="D330" t="n">
        <v>451</v>
      </c>
      <c r="E330" t="n">
        <v>759</v>
      </c>
      <c r="F330" t="n">
        <v>419</v>
      </c>
      <c r="G330" t="n">
        <v>385</v>
      </c>
      <c r="H330" t="n">
        <v>237</v>
      </c>
      <c r="I330" t="n">
        <v>733</v>
      </c>
      <c r="J330" t="n">
        <v>1371</v>
      </c>
      <c r="K330" t="n">
        <v>2607</v>
      </c>
      <c r="L330" t="n">
        <v>991</v>
      </c>
      <c r="M330" t="n">
        <v>86</v>
      </c>
      <c r="N330" t="n">
        <v>0</v>
      </c>
      <c r="O330" s="6" t="n">
        <v>8516</v>
      </c>
      <c r="P330">
        <f>SUM(C330:H330)</f>
        <v/>
      </c>
      <c r="Q330">
        <f>I330</f>
        <v/>
      </c>
      <c r="R330">
        <f>J330</f>
        <v/>
      </c>
      <c r="S330">
        <f>SUM(K330:N330)</f>
        <v/>
      </c>
      <c r="T330">
        <f>SUM(P330:S330)</f>
        <v/>
      </c>
      <c r="U330" s="3">
        <f>IF(T330=0,"",P330/T330)</f>
        <v/>
      </c>
      <c r="V330" s="3">
        <f>IF(T330=0,"",Q330/T330)</f>
        <v/>
      </c>
      <c r="W330" s="3">
        <f>IF(T330=0,"",R330/T330)</f>
        <v/>
      </c>
      <c r="X330" s="3">
        <f>IF(T330=0,"",S330/T330)</f>
        <v/>
      </c>
      <c r="Y330" s="4">
        <f>IF(T330=0,"",U330*Pesos!$B$2+V330*Pesos!$B$3+W330*Pesos!$B$4+X330*Pesos!$B$5)</f>
        <v/>
      </c>
    </row>
    <row r="331">
      <c r="A331" s="2" t="n">
        <v>330</v>
      </c>
      <c r="B331" t="n">
        <v>4</v>
      </c>
      <c r="C331" t="n">
        <v>1333</v>
      </c>
      <c r="D331" t="n">
        <v>1672</v>
      </c>
      <c r="E331" t="n">
        <v>2790</v>
      </c>
      <c r="F331" t="n">
        <v>2231</v>
      </c>
      <c r="G331" t="n">
        <v>1437</v>
      </c>
      <c r="H331" t="n">
        <v>164</v>
      </c>
      <c r="I331" t="n">
        <v>96</v>
      </c>
      <c r="J331" t="n">
        <v>31</v>
      </c>
      <c r="K331" t="n">
        <v>19</v>
      </c>
      <c r="L331" t="n">
        <v>16</v>
      </c>
      <c r="M331" t="n">
        <v>0</v>
      </c>
      <c r="N331" t="n">
        <v>0</v>
      </c>
      <c r="O331" s="6" t="n">
        <v>9789</v>
      </c>
      <c r="P331">
        <f>SUM(C331:H331)</f>
        <v/>
      </c>
      <c r="Q331">
        <f>I331</f>
        <v/>
      </c>
      <c r="R331">
        <f>J331</f>
        <v/>
      </c>
      <c r="S331">
        <f>SUM(K331:N331)</f>
        <v/>
      </c>
      <c r="T331">
        <f>SUM(P331:S331)</f>
        <v/>
      </c>
      <c r="U331" s="3">
        <f>IF(T331=0,"",P331/T331)</f>
        <v/>
      </c>
      <c r="V331" s="3">
        <f>IF(T331=0,"",Q331/T331)</f>
        <v/>
      </c>
      <c r="W331" s="3">
        <f>IF(T331=0,"",R331/T331)</f>
        <v/>
      </c>
      <c r="X331" s="3">
        <f>IF(T331=0,"",S331/T331)</f>
        <v/>
      </c>
      <c r="Y331" s="4">
        <f>IF(T331=0,"",U331*Pesos!$B$2+V331*Pesos!$B$3+W331*Pesos!$B$4+X331*Pesos!$B$5)</f>
        <v/>
      </c>
    </row>
    <row r="332">
      <c r="A332" s="2" t="n">
        <v>331</v>
      </c>
      <c r="B332" t="n">
        <v>11</v>
      </c>
      <c r="C332" t="n">
        <v>551</v>
      </c>
      <c r="D332" t="n">
        <v>575</v>
      </c>
      <c r="E332" t="n">
        <v>668</v>
      </c>
      <c r="F332" t="n">
        <v>479</v>
      </c>
      <c r="G332" t="n">
        <v>300</v>
      </c>
      <c r="H332" t="n">
        <v>153</v>
      </c>
      <c r="I332" t="n">
        <v>1983</v>
      </c>
      <c r="J332" t="n">
        <v>1692</v>
      </c>
      <c r="K332" t="n">
        <v>1853</v>
      </c>
      <c r="L332" t="n">
        <v>2330</v>
      </c>
      <c r="M332" t="n">
        <v>1450</v>
      </c>
      <c r="N332" t="n">
        <v>0</v>
      </c>
      <c r="O332" s="6" t="n">
        <v>12034</v>
      </c>
      <c r="P332">
        <f>SUM(C332:H332)</f>
        <v/>
      </c>
      <c r="Q332">
        <f>I332</f>
        <v/>
      </c>
      <c r="R332">
        <f>J332</f>
        <v/>
      </c>
      <c r="S332">
        <f>SUM(K332:N332)</f>
        <v/>
      </c>
      <c r="T332">
        <f>SUM(P332:S332)</f>
        <v/>
      </c>
      <c r="U332" s="3">
        <f>IF(T332=0,"",P332/T332)</f>
        <v/>
      </c>
      <c r="V332" s="3">
        <f>IF(T332=0,"",Q332/T332)</f>
        <v/>
      </c>
      <c r="W332" s="3">
        <f>IF(T332=0,"",R332/T332)</f>
        <v/>
      </c>
      <c r="X332" s="3">
        <f>IF(T332=0,"",S332/T332)</f>
        <v/>
      </c>
      <c r="Y332" s="4">
        <f>IF(T332=0,"",U332*Pesos!$B$2+V332*Pesos!$B$3+W332*Pesos!$B$4+X332*Pesos!$B$5)</f>
        <v/>
      </c>
    </row>
    <row r="333">
      <c r="A333" s="2" t="n">
        <v>332</v>
      </c>
      <c r="B333" t="n">
        <v>8</v>
      </c>
      <c r="C333" t="n">
        <v>777</v>
      </c>
      <c r="D333" t="n">
        <v>656</v>
      </c>
      <c r="E333" t="n">
        <v>768</v>
      </c>
      <c r="F333" t="n">
        <v>630</v>
      </c>
      <c r="G333" t="n">
        <v>374</v>
      </c>
      <c r="H333" t="n">
        <v>340</v>
      </c>
      <c r="I333" t="n">
        <v>1106</v>
      </c>
      <c r="J333" t="n">
        <v>1903</v>
      </c>
      <c r="K333" t="n">
        <v>1849</v>
      </c>
      <c r="L333" t="n">
        <v>2215</v>
      </c>
      <c r="M333" t="n">
        <v>172</v>
      </c>
      <c r="N333" t="n">
        <v>2</v>
      </c>
      <c r="O333" s="6" t="n">
        <v>10792</v>
      </c>
      <c r="P333">
        <f>SUM(C333:H333)</f>
        <v/>
      </c>
      <c r="Q333">
        <f>I333</f>
        <v/>
      </c>
      <c r="R333">
        <f>J333</f>
        <v/>
      </c>
      <c r="S333">
        <f>SUM(K333:N333)</f>
        <v/>
      </c>
      <c r="T333">
        <f>SUM(P333:S333)</f>
        <v/>
      </c>
      <c r="U333" s="3">
        <f>IF(T333=0,"",P333/T333)</f>
        <v/>
      </c>
      <c r="V333" s="3">
        <f>IF(T333=0,"",Q333/T333)</f>
        <v/>
      </c>
      <c r="W333" s="3">
        <f>IF(T333=0,"",R333/T333)</f>
        <v/>
      </c>
      <c r="X333" s="3">
        <f>IF(T333=0,"",S333/T333)</f>
        <v/>
      </c>
      <c r="Y333" s="4">
        <f>IF(T333=0,"",U333*Pesos!$B$2+V333*Pesos!$B$3+W333*Pesos!$B$4+X333*Pesos!$B$5)</f>
        <v/>
      </c>
    </row>
    <row r="334">
      <c r="A334" s="2" t="n">
        <v>333</v>
      </c>
      <c r="B334" t="n">
        <v>8</v>
      </c>
      <c r="C334" t="n">
        <v>504</v>
      </c>
      <c r="D334" t="n">
        <v>526</v>
      </c>
      <c r="E334" t="n">
        <v>533</v>
      </c>
      <c r="F334" t="n">
        <v>583</v>
      </c>
      <c r="G334" t="n">
        <v>572</v>
      </c>
      <c r="H334" t="n">
        <v>396</v>
      </c>
      <c r="I334" t="n">
        <v>1240</v>
      </c>
      <c r="J334" t="n">
        <v>2594</v>
      </c>
      <c r="K334" t="n">
        <v>2218</v>
      </c>
      <c r="L334" t="n">
        <v>960</v>
      </c>
      <c r="M334" t="n">
        <v>597</v>
      </c>
      <c r="N334" t="n">
        <v>1</v>
      </c>
      <c r="O334" s="6" t="n">
        <v>10724</v>
      </c>
      <c r="P334">
        <f>SUM(C334:H334)</f>
        <v/>
      </c>
      <c r="Q334">
        <f>I334</f>
        <v/>
      </c>
      <c r="R334">
        <f>J334</f>
        <v/>
      </c>
      <c r="S334">
        <f>SUM(K334:N334)</f>
        <v/>
      </c>
      <c r="T334">
        <f>SUM(P334:S334)</f>
        <v/>
      </c>
      <c r="U334" s="3">
        <f>IF(T334=0,"",P334/T334)</f>
        <v/>
      </c>
      <c r="V334" s="3">
        <f>IF(T334=0,"",Q334/T334)</f>
        <v/>
      </c>
      <c r="W334" s="3">
        <f>IF(T334=0,"",R334/T334)</f>
        <v/>
      </c>
      <c r="X334" s="3">
        <f>IF(T334=0,"",S334/T334)</f>
        <v/>
      </c>
      <c r="Y334" s="4">
        <f>IF(T334=0,"",U334*Pesos!$B$2+V334*Pesos!$B$3+W334*Pesos!$B$4+X334*Pesos!$B$5)</f>
        <v/>
      </c>
    </row>
    <row r="335">
      <c r="A335" s="2" t="n">
        <v>334</v>
      </c>
      <c r="B335" t="n">
        <v>10</v>
      </c>
      <c r="C335" t="n">
        <v>722</v>
      </c>
      <c r="D335" t="n">
        <v>779</v>
      </c>
      <c r="E335" t="n">
        <v>753</v>
      </c>
      <c r="F335" t="n">
        <v>607</v>
      </c>
      <c r="G335" t="n">
        <v>411</v>
      </c>
      <c r="H335" t="n">
        <v>304</v>
      </c>
      <c r="I335" t="n">
        <v>1016</v>
      </c>
      <c r="J335" t="n">
        <v>1644</v>
      </c>
      <c r="K335" t="n">
        <v>2045</v>
      </c>
      <c r="L335" t="n">
        <v>2389</v>
      </c>
      <c r="M335" t="n">
        <v>713</v>
      </c>
      <c r="N335" t="n">
        <v>10</v>
      </c>
      <c r="O335" s="6" t="n">
        <v>11393</v>
      </c>
      <c r="P335">
        <f>SUM(C335:H335)</f>
        <v/>
      </c>
      <c r="Q335">
        <f>I335</f>
        <v/>
      </c>
      <c r="R335">
        <f>J335</f>
        <v/>
      </c>
      <c r="S335">
        <f>SUM(K335:N335)</f>
        <v/>
      </c>
      <c r="T335">
        <f>SUM(P335:S335)</f>
        <v/>
      </c>
      <c r="U335" s="3">
        <f>IF(T335=0,"",P335/T335)</f>
        <v/>
      </c>
      <c r="V335" s="3">
        <f>IF(T335=0,"",Q335/T335)</f>
        <v/>
      </c>
      <c r="W335" s="3">
        <f>IF(T335=0,"",R335/T335)</f>
        <v/>
      </c>
      <c r="X335" s="3">
        <f>IF(T335=0,"",S335/T335)</f>
        <v/>
      </c>
      <c r="Y335" s="4">
        <f>IF(T335=0,"",U335*Pesos!$B$2+V335*Pesos!$B$3+W335*Pesos!$B$4+X335*Pesos!$B$5)</f>
        <v/>
      </c>
    </row>
    <row r="336">
      <c r="A336" s="2" t="n">
        <v>335</v>
      </c>
      <c r="B336" t="n">
        <v>10</v>
      </c>
      <c r="C336" t="n">
        <v>613</v>
      </c>
      <c r="D336" t="n">
        <v>606</v>
      </c>
      <c r="E336" t="n">
        <v>581</v>
      </c>
      <c r="F336" t="n">
        <v>389</v>
      </c>
      <c r="G336" t="n">
        <v>407</v>
      </c>
      <c r="H336" t="n">
        <v>312</v>
      </c>
      <c r="I336" t="n">
        <v>882</v>
      </c>
      <c r="J336" t="n">
        <v>1514</v>
      </c>
      <c r="K336" t="n">
        <v>1608</v>
      </c>
      <c r="L336" t="n">
        <v>1825</v>
      </c>
      <c r="M336" t="n">
        <v>1351</v>
      </c>
      <c r="N336" t="n">
        <v>9</v>
      </c>
      <c r="O336" s="6" t="n">
        <v>10097</v>
      </c>
      <c r="P336">
        <f>SUM(C336:H336)</f>
        <v/>
      </c>
      <c r="Q336">
        <f>I336</f>
        <v/>
      </c>
      <c r="R336">
        <f>J336</f>
        <v/>
      </c>
      <c r="S336">
        <f>SUM(K336:N336)</f>
        <v/>
      </c>
      <c r="T336">
        <f>SUM(P336:S336)</f>
        <v/>
      </c>
      <c r="U336" s="3">
        <f>IF(T336=0,"",P336/T336)</f>
        <v/>
      </c>
      <c r="V336" s="3">
        <f>IF(T336=0,"",Q336/T336)</f>
        <v/>
      </c>
      <c r="W336" s="3">
        <f>IF(T336=0,"",R336/T336)</f>
        <v/>
      </c>
      <c r="X336" s="3">
        <f>IF(T336=0,"",S336/T336)</f>
        <v/>
      </c>
      <c r="Y336" s="4">
        <f>IF(T336=0,"",U336*Pesos!$B$2+V336*Pesos!$B$3+W336*Pesos!$B$4+X336*Pesos!$B$5)</f>
        <v/>
      </c>
    </row>
    <row r="337">
      <c r="A337" s="2" t="n">
        <v>336</v>
      </c>
      <c r="B337" t="n">
        <v>7</v>
      </c>
      <c r="C337" t="n">
        <v>581</v>
      </c>
      <c r="D337" t="n">
        <v>552</v>
      </c>
      <c r="E337" t="n">
        <v>621</v>
      </c>
      <c r="F337" t="n">
        <v>514</v>
      </c>
      <c r="G337" t="n">
        <v>298</v>
      </c>
      <c r="H337" t="n">
        <v>290</v>
      </c>
      <c r="I337" t="n">
        <v>820</v>
      </c>
      <c r="J337" t="n">
        <v>1092</v>
      </c>
      <c r="K337" t="n">
        <v>1320</v>
      </c>
      <c r="L337" t="n">
        <v>1877</v>
      </c>
      <c r="M337" t="n">
        <v>340</v>
      </c>
      <c r="N337" t="n">
        <v>0</v>
      </c>
      <c r="O337" s="6" t="n">
        <v>8305</v>
      </c>
      <c r="P337">
        <f>SUM(C337:H337)</f>
        <v/>
      </c>
      <c r="Q337">
        <f>I337</f>
        <v/>
      </c>
      <c r="R337">
        <f>J337</f>
        <v/>
      </c>
      <c r="S337">
        <f>SUM(K337:N337)</f>
        <v/>
      </c>
      <c r="T337">
        <f>SUM(P337:S337)</f>
        <v/>
      </c>
      <c r="U337" s="3">
        <f>IF(T337=0,"",P337/T337)</f>
        <v/>
      </c>
      <c r="V337" s="3">
        <f>IF(T337=0,"",Q337/T337)</f>
        <v/>
      </c>
      <c r="W337" s="3">
        <f>IF(T337=0,"",R337/T337)</f>
        <v/>
      </c>
      <c r="X337" s="3">
        <f>IF(T337=0,"",S337/T337)</f>
        <v/>
      </c>
      <c r="Y337" s="4">
        <f>IF(T337=0,"",U337*Pesos!$B$2+V337*Pesos!$B$3+W337*Pesos!$B$4+X337*Pesos!$B$5)</f>
        <v/>
      </c>
    </row>
    <row r="338">
      <c r="A338" s="2" t="n">
        <v>337</v>
      </c>
      <c r="B338" t="n">
        <v>10</v>
      </c>
      <c r="C338" t="n">
        <v>463</v>
      </c>
      <c r="D338" t="n">
        <v>541</v>
      </c>
      <c r="E338" t="n">
        <v>757</v>
      </c>
      <c r="F338" t="n">
        <v>649</v>
      </c>
      <c r="G338" t="n">
        <v>386</v>
      </c>
      <c r="H338" t="n">
        <v>542</v>
      </c>
      <c r="I338" t="n">
        <v>1495</v>
      </c>
      <c r="J338" t="n">
        <v>3577</v>
      </c>
      <c r="K338" t="n">
        <v>2340</v>
      </c>
      <c r="L338" t="n">
        <v>1287</v>
      </c>
      <c r="M338" t="n">
        <v>1362</v>
      </c>
      <c r="N338" t="n">
        <v>0</v>
      </c>
      <c r="O338" s="6" t="n">
        <v>13399</v>
      </c>
      <c r="P338">
        <f>SUM(C338:H338)</f>
        <v/>
      </c>
      <c r="Q338">
        <f>I338</f>
        <v/>
      </c>
      <c r="R338">
        <f>J338</f>
        <v/>
      </c>
      <c r="S338">
        <f>SUM(K338:N338)</f>
        <v/>
      </c>
      <c r="T338">
        <f>SUM(P338:S338)</f>
        <v/>
      </c>
      <c r="U338" s="3">
        <f>IF(T338=0,"",P338/T338)</f>
        <v/>
      </c>
      <c r="V338" s="3">
        <f>IF(T338=0,"",Q338/T338)</f>
        <v/>
      </c>
      <c r="W338" s="3">
        <f>IF(T338=0,"",R338/T338)</f>
        <v/>
      </c>
      <c r="X338" s="3">
        <f>IF(T338=0,"",S338/T338)</f>
        <v/>
      </c>
      <c r="Y338" s="4">
        <f>IF(T338=0,"",U338*Pesos!$B$2+V338*Pesos!$B$3+W338*Pesos!$B$4+X338*Pesos!$B$5)</f>
        <v/>
      </c>
    </row>
    <row r="339">
      <c r="A339" s="2" t="n">
        <v>338</v>
      </c>
      <c r="B339" t="n">
        <v>10</v>
      </c>
      <c r="C339" t="n">
        <v>836</v>
      </c>
      <c r="D339" t="n">
        <v>742</v>
      </c>
      <c r="E339" t="n">
        <v>642</v>
      </c>
      <c r="F339" t="n">
        <v>538</v>
      </c>
      <c r="G339" t="n">
        <v>419</v>
      </c>
      <c r="H339" t="n">
        <v>317</v>
      </c>
      <c r="I339" t="n">
        <v>1114</v>
      </c>
      <c r="J339" t="n">
        <v>3661</v>
      </c>
      <c r="K339" t="n">
        <v>2118</v>
      </c>
      <c r="L339" t="n">
        <v>1689</v>
      </c>
      <c r="M339" t="n">
        <v>11</v>
      </c>
      <c r="N339" t="n">
        <v>11</v>
      </c>
      <c r="O339" s="6" t="n">
        <v>12098</v>
      </c>
      <c r="P339">
        <f>SUM(C339:H339)</f>
        <v/>
      </c>
      <c r="Q339">
        <f>I339</f>
        <v/>
      </c>
      <c r="R339">
        <f>J339</f>
        <v/>
      </c>
      <c r="S339">
        <f>SUM(K339:N339)</f>
        <v/>
      </c>
      <c r="T339">
        <f>SUM(P339:S339)</f>
        <v/>
      </c>
      <c r="U339" s="3">
        <f>IF(T339=0,"",P339/T339)</f>
        <v/>
      </c>
      <c r="V339" s="3">
        <f>IF(T339=0,"",Q339/T339)</f>
        <v/>
      </c>
      <c r="W339" s="3">
        <f>IF(T339=0,"",R339/T339)</f>
        <v/>
      </c>
      <c r="X339" s="3">
        <f>IF(T339=0,"",S339/T339)</f>
        <v/>
      </c>
      <c r="Y339" s="4">
        <f>IF(T339=0,"",U339*Pesos!$B$2+V339*Pesos!$B$3+W339*Pesos!$B$4+X339*Pesos!$B$5)</f>
        <v/>
      </c>
    </row>
    <row r="340">
      <c r="A340" s="2" t="n">
        <v>339</v>
      </c>
      <c r="B340" t="n">
        <v>9</v>
      </c>
      <c r="C340" t="n">
        <v>567</v>
      </c>
      <c r="D340" t="n">
        <v>701</v>
      </c>
      <c r="E340" t="n">
        <v>918</v>
      </c>
      <c r="F340" t="n">
        <v>947</v>
      </c>
      <c r="G340" t="n">
        <v>649</v>
      </c>
      <c r="H340" t="n">
        <v>472</v>
      </c>
      <c r="I340" t="n">
        <v>1682</v>
      </c>
      <c r="J340" t="n">
        <v>3407</v>
      </c>
      <c r="K340" t="n">
        <v>1933</v>
      </c>
      <c r="L340" t="n">
        <v>907</v>
      </c>
      <c r="M340" t="n">
        <v>187</v>
      </c>
      <c r="N340" t="n">
        <v>0</v>
      </c>
      <c r="O340" s="6" t="n">
        <v>12370</v>
      </c>
      <c r="P340">
        <f>SUM(C340:H340)</f>
        <v/>
      </c>
      <c r="Q340">
        <f>I340</f>
        <v/>
      </c>
      <c r="R340">
        <f>J340</f>
        <v/>
      </c>
      <c r="S340">
        <f>SUM(K340:N340)</f>
        <v/>
      </c>
      <c r="T340">
        <f>SUM(P340:S340)</f>
        <v/>
      </c>
      <c r="U340" s="3">
        <f>IF(T340=0,"",P340/T340)</f>
        <v/>
      </c>
      <c r="V340" s="3">
        <f>IF(T340=0,"",Q340/T340)</f>
        <v/>
      </c>
      <c r="W340" s="3">
        <f>IF(T340=0,"",R340/T340)</f>
        <v/>
      </c>
      <c r="X340" s="3">
        <f>IF(T340=0,"",S340/T340)</f>
        <v/>
      </c>
      <c r="Y340" s="4">
        <f>IF(T340=0,"",U340*Pesos!$B$2+V340*Pesos!$B$3+W340*Pesos!$B$4+X340*Pesos!$B$5)</f>
        <v/>
      </c>
    </row>
    <row r="341">
      <c r="A341" s="2" t="n">
        <v>340</v>
      </c>
      <c r="B341" t="n">
        <v>9</v>
      </c>
      <c r="C341" t="n">
        <v>691</v>
      </c>
      <c r="D341" t="n">
        <v>698</v>
      </c>
      <c r="E341" t="n">
        <v>1005</v>
      </c>
      <c r="F341" t="n">
        <v>844</v>
      </c>
      <c r="G341" t="n">
        <v>628</v>
      </c>
      <c r="H341" t="n">
        <v>437</v>
      </c>
      <c r="I341" t="n">
        <v>1364</v>
      </c>
      <c r="J341" t="n">
        <v>4005</v>
      </c>
      <c r="K341" t="n">
        <v>2401</v>
      </c>
      <c r="L341" t="n">
        <v>946</v>
      </c>
      <c r="M341" t="n">
        <v>149</v>
      </c>
      <c r="N341" t="n">
        <v>0</v>
      </c>
      <c r="O341" s="6" t="n">
        <v>13168</v>
      </c>
      <c r="P341">
        <f>SUM(C341:H341)</f>
        <v/>
      </c>
      <c r="Q341">
        <f>I341</f>
        <v/>
      </c>
      <c r="R341">
        <f>J341</f>
        <v/>
      </c>
      <c r="S341">
        <f>SUM(K341:N341)</f>
        <v/>
      </c>
      <c r="T341">
        <f>SUM(P341:S341)</f>
        <v/>
      </c>
      <c r="U341" s="3">
        <f>IF(T341=0,"",P341/T341)</f>
        <v/>
      </c>
      <c r="V341" s="3">
        <f>IF(T341=0,"",Q341/T341)</f>
        <v/>
      </c>
      <c r="W341" s="3">
        <f>IF(T341=0,"",R341/T341)</f>
        <v/>
      </c>
      <c r="X341" s="3">
        <f>IF(T341=0,"",S341/T341)</f>
        <v/>
      </c>
      <c r="Y341" s="4">
        <f>IF(T341=0,"",U341*Pesos!$B$2+V341*Pesos!$B$3+W341*Pesos!$B$4+X341*Pesos!$B$5)</f>
        <v/>
      </c>
    </row>
    <row r="342">
      <c r="A342" s="2" t="n">
        <v>341</v>
      </c>
      <c r="B342" t="n">
        <v>11</v>
      </c>
      <c r="C342" t="n">
        <v>1029</v>
      </c>
      <c r="D342" t="n">
        <v>1339</v>
      </c>
      <c r="E342" t="n">
        <v>1163</v>
      </c>
      <c r="F342" t="n">
        <v>1310</v>
      </c>
      <c r="G342" t="n">
        <v>834</v>
      </c>
      <c r="H342" t="n">
        <v>519</v>
      </c>
      <c r="I342" t="n">
        <v>2317</v>
      </c>
      <c r="J342" t="n">
        <v>4831</v>
      </c>
      <c r="K342" t="n">
        <v>2798</v>
      </c>
      <c r="L342" t="n">
        <v>462</v>
      </c>
      <c r="M342" t="n">
        <v>1</v>
      </c>
      <c r="N342" t="n">
        <v>0</v>
      </c>
      <c r="O342" s="6" t="n">
        <v>16603</v>
      </c>
      <c r="P342">
        <f>SUM(C342:H342)</f>
        <v/>
      </c>
      <c r="Q342">
        <f>I342</f>
        <v/>
      </c>
      <c r="R342">
        <f>J342</f>
        <v/>
      </c>
      <c r="S342">
        <f>SUM(K342:N342)</f>
        <v/>
      </c>
      <c r="T342">
        <f>SUM(P342:S342)</f>
        <v/>
      </c>
      <c r="U342" s="3">
        <f>IF(T342=0,"",P342/T342)</f>
        <v/>
      </c>
      <c r="V342" s="3">
        <f>IF(T342=0,"",Q342/T342)</f>
        <v/>
      </c>
      <c r="W342" s="3">
        <f>IF(T342=0,"",R342/T342)</f>
        <v/>
      </c>
      <c r="X342" s="3">
        <f>IF(T342=0,"",S342/T342)</f>
        <v/>
      </c>
      <c r="Y342" s="4">
        <f>IF(T342=0,"",U342*Pesos!$B$2+V342*Pesos!$B$3+W342*Pesos!$B$4+X342*Pesos!$B$5)</f>
        <v/>
      </c>
    </row>
    <row r="343">
      <c r="A343" s="2" t="n">
        <v>342</v>
      </c>
      <c r="B343" t="n">
        <v>9</v>
      </c>
      <c r="C343" t="n">
        <v>969</v>
      </c>
      <c r="D343" t="n">
        <v>1199</v>
      </c>
      <c r="E343" t="n">
        <v>1496</v>
      </c>
      <c r="F343" t="n">
        <v>1291</v>
      </c>
      <c r="G343" t="n">
        <v>968</v>
      </c>
      <c r="H343" t="n">
        <v>1087</v>
      </c>
      <c r="I343" t="n">
        <v>4241</v>
      </c>
      <c r="J343" t="n">
        <v>1597</v>
      </c>
      <c r="K343" t="n">
        <v>2289</v>
      </c>
      <c r="L343" t="n">
        <v>811</v>
      </c>
      <c r="M343" t="n">
        <v>10</v>
      </c>
      <c r="N343" t="n">
        <v>0</v>
      </c>
      <c r="O343" s="6" t="n">
        <v>15958</v>
      </c>
      <c r="P343">
        <f>SUM(C343:H343)</f>
        <v/>
      </c>
      <c r="Q343">
        <f>I343</f>
        <v/>
      </c>
      <c r="R343">
        <f>J343</f>
        <v/>
      </c>
      <c r="S343">
        <f>SUM(K343:N343)</f>
        <v/>
      </c>
      <c r="T343">
        <f>SUM(P343:S343)</f>
        <v/>
      </c>
      <c r="U343" s="3">
        <f>IF(T343=0,"",P343/T343)</f>
        <v/>
      </c>
      <c r="V343" s="3">
        <f>IF(T343=0,"",Q343/T343)</f>
        <v/>
      </c>
      <c r="W343" s="3">
        <f>IF(T343=0,"",R343/T343)</f>
        <v/>
      </c>
      <c r="X343" s="3">
        <f>IF(T343=0,"",S343/T343)</f>
        <v/>
      </c>
      <c r="Y343" s="4">
        <f>IF(T343=0,"",U343*Pesos!$B$2+V343*Pesos!$B$3+W343*Pesos!$B$4+X343*Pesos!$B$5)</f>
        <v/>
      </c>
    </row>
    <row r="344">
      <c r="A344" s="2" t="n">
        <v>343</v>
      </c>
      <c r="B344" t="n">
        <v>8</v>
      </c>
      <c r="C344" t="n">
        <v>1516</v>
      </c>
      <c r="D344" t="n">
        <v>922</v>
      </c>
      <c r="E344" t="n">
        <v>1109</v>
      </c>
      <c r="F344" t="n">
        <v>898</v>
      </c>
      <c r="G344" t="n">
        <v>681</v>
      </c>
      <c r="H344" t="n">
        <v>677</v>
      </c>
      <c r="I344" t="n">
        <v>2452</v>
      </c>
      <c r="J344" t="n">
        <v>2945</v>
      </c>
      <c r="K344" t="n">
        <v>1656</v>
      </c>
      <c r="L344" t="n">
        <v>835</v>
      </c>
      <c r="M344" t="n">
        <v>245</v>
      </c>
      <c r="N344" t="n">
        <v>32</v>
      </c>
      <c r="O344" s="6" t="n">
        <v>13968</v>
      </c>
      <c r="P344">
        <f>SUM(C344:H344)</f>
        <v/>
      </c>
      <c r="Q344">
        <f>I344</f>
        <v/>
      </c>
      <c r="R344">
        <f>J344</f>
        <v/>
      </c>
      <c r="S344">
        <f>SUM(K344:N344)</f>
        <v/>
      </c>
      <c r="T344">
        <f>SUM(P344:S344)</f>
        <v/>
      </c>
      <c r="U344" s="3">
        <f>IF(T344=0,"",P344/T344)</f>
        <v/>
      </c>
      <c r="V344" s="3">
        <f>IF(T344=0,"",Q344/T344)</f>
        <v/>
      </c>
      <c r="W344" s="3">
        <f>IF(T344=0,"",R344/T344)</f>
        <v/>
      </c>
      <c r="X344" s="3">
        <f>IF(T344=0,"",S344/T344)</f>
        <v/>
      </c>
      <c r="Y344" s="4">
        <f>IF(T344=0,"",U344*Pesos!$B$2+V344*Pesos!$B$3+W344*Pesos!$B$4+X344*Pesos!$B$5)</f>
        <v/>
      </c>
    </row>
    <row r="345">
      <c r="A345" s="2" t="n">
        <v>344</v>
      </c>
      <c r="B345" t="n">
        <v>13</v>
      </c>
      <c r="C345" t="n">
        <v>370</v>
      </c>
      <c r="D345" t="n">
        <v>453</v>
      </c>
      <c r="E345" t="n">
        <v>425</v>
      </c>
      <c r="F345" t="n">
        <v>343</v>
      </c>
      <c r="G345" t="n">
        <v>242</v>
      </c>
      <c r="H345" t="n">
        <v>401</v>
      </c>
      <c r="I345" t="n">
        <v>1116</v>
      </c>
      <c r="J345" t="n">
        <v>1934</v>
      </c>
      <c r="K345" t="n">
        <v>7203</v>
      </c>
      <c r="L345" t="n">
        <v>916</v>
      </c>
      <c r="M345" t="n">
        <v>1106</v>
      </c>
      <c r="N345" t="n">
        <v>0</v>
      </c>
      <c r="O345" s="6" t="n">
        <v>14509</v>
      </c>
      <c r="P345">
        <f>SUM(C345:H345)</f>
        <v/>
      </c>
      <c r="Q345">
        <f>I345</f>
        <v/>
      </c>
      <c r="R345">
        <f>J345</f>
        <v/>
      </c>
      <c r="S345">
        <f>SUM(K345:N345)</f>
        <v/>
      </c>
      <c r="T345">
        <f>SUM(P345:S345)</f>
        <v/>
      </c>
      <c r="U345" s="3">
        <f>IF(T345=0,"",P345/T345)</f>
        <v/>
      </c>
      <c r="V345" s="3">
        <f>IF(T345=0,"",Q345/T345)</f>
        <v/>
      </c>
      <c r="W345" s="3">
        <f>IF(T345=0,"",R345/T345)</f>
        <v/>
      </c>
      <c r="X345" s="3">
        <f>IF(T345=0,"",S345/T345)</f>
        <v/>
      </c>
      <c r="Y345" s="4">
        <f>IF(T345=0,"",U345*Pesos!$B$2+V345*Pesos!$B$3+W345*Pesos!$B$4+X345*Pesos!$B$5)</f>
        <v/>
      </c>
    </row>
    <row r="346">
      <c r="A346" s="2" t="n">
        <v>345</v>
      </c>
      <c r="B346" t="n">
        <v>12</v>
      </c>
      <c r="C346" t="n">
        <v>518</v>
      </c>
      <c r="D346" t="n">
        <v>462</v>
      </c>
      <c r="E346" t="n">
        <v>716</v>
      </c>
      <c r="F346" t="n">
        <v>657</v>
      </c>
      <c r="G346" t="n">
        <v>581</v>
      </c>
      <c r="H346" t="n">
        <v>391</v>
      </c>
      <c r="I346" t="n">
        <v>1355</v>
      </c>
      <c r="J346" t="n">
        <v>7038</v>
      </c>
      <c r="K346" t="n">
        <v>3762</v>
      </c>
      <c r="L346" t="n">
        <v>1143</v>
      </c>
      <c r="M346" t="n">
        <v>40</v>
      </c>
      <c r="N346" t="n">
        <v>1</v>
      </c>
      <c r="O346" s="6" t="n">
        <v>16664</v>
      </c>
      <c r="P346">
        <f>SUM(C346:H346)</f>
        <v/>
      </c>
      <c r="Q346">
        <f>I346</f>
        <v/>
      </c>
      <c r="R346">
        <f>J346</f>
        <v/>
      </c>
      <c r="S346">
        <f>SUM(K346:N346)</f>
        <v/>
      </c>
      <c r="T346">
        <f>SUM(P346:S346)</f>
        <v/>
      </c>
      <c r="U346" s="3">
        <f>IF(T346=0,"",P346/T346)</f>
        <v/>
      </c>
      <c r="V346" s="3">
        <f>IF(T346=0,"",Q346/T346)</f>
        <v/>
      </c>
      <c r="W346" s="3">
        <f>IF(T346=0,"",R346/T346)</f>
        <v/>
      </c>
      <c r="X346" s="3">
        <f>IF(T346=0,"",S346/T346)</f>
        <v/>
      </c>
      <c r="Y346" s="4">
        <f>IF(T346=0,"",U346*Pesos!$B$2+V346*Pesos!$B$3+W346*Pesos!$B$4+X346*Pesos!$B$5)</f>
        <v/>
      </c>
    </row>
    <row r="347">
      <c r="A347" s="2" t="n">
        <v>346</v>
      </c>
      <c r="B347" t="n">
        <v>9</v>
      </c>
      <c r="C347" t="n">
        <v>495</v>
      </c>
      <c r="D347" t="n">
        <v>534</v>
      </c>
      <c r="E347" t="n">
        <v>655</v>
      </c>
      <c r="F347" t="n">
        <v>649</v>
      </c>
      <c r="G347" t="n">
        <v>462</v>
      </c>
      <c r="H347" t="n">
        <v>482</v>
      </c>
      <c r="I347" t="n">
        <v>1279</v>
      </c>
      <c r="J347" t="n">
        <v>1857</v>
      </c>
      <c r="K347" t="n">
        <v>2623</v>
      </c>
      <c r="L347" t="n">
        <v>2117</v>
      </c>
      <c r="M347" t="n">
        <v>214</v>
      </c>
      <c r="N347" t="n">
        <v>0</v>
      </c>
      <c r="O347" s="6" t="n">
        <v>11367</v>
      </c>
      <c r="P347">
        <f>SUM(C347:H347)</f>
        <v/>
      </c>
      <c r="Q347">
        <f>I347</f>
        <v/>
      </c>
      <c r="R347">
        <f>J347</f>
        <v/>
      </c>
      <c r="S347">
        <f>SUM(K347:N347)</f>
        <v/>
      </c>
      <c r="T347">
        <f>SUM(P347:S347)</f>
        <v/>
      </c>
      <c r="U347" s="3">
        <f>IF(T347=0,"",P347/T347)</f>
        <v/>
      </c>
      <c r="V347" s="3">
        <f>IF(T347=0,"",Q347/T347)</f>
        <v/>
      </c>
      <c r="W347" s="3">
        <f>IF(T347=0,"",R347/T347)</f>
        <v/>
      </c>
      <c r="X347" s="3">
        <f>IF(T347=0,"",S347/T347)</f>
        <v/>
      </c>
      <c r="Y347" s="4">
        <f>IF(T347=0,"",U347*Pesos!$B$2+V347*Pesos!$B$3+W347*Pesos!$B$4+X347*Pesos!$B$5)</f>
        <v/>
      </c>
    </row>
    <row r="348">
      <c r="A348" s="2" t="n">
        <v>347</v>
      </c>
      <c r="B348" t="n">
        <v>8</v>
      </c>
      <c r="C348" t="n">
        <v>472</v>
      </c>
      <c r="D348" t="n">
        <v>580</v>
      </c>
      <c r="E348" t="n">
        <v>618</v>
      </c>
      <c r="F348" t="n">
        <v>493</v>
      </c>
      <c r="G348" t="n">
        <v>324</v>
      </c>
      <c r="H348" t="n">
        <v>511</v>
      </c>
      <c r="I348" t="n">
        <v>974</v>
      </c>
      <c r="J348" t="n">
        <v>1253</v>
      </c>
      <c r="K348" t="n">
        <v>2399</v>
      </c>
      <c r="L348" t="n">
        <v>2411</v>
      </c>
      <c r="M348" t="n">
        <v>294</v>
      </c>
      <c r="N348" t="n">
        <v>0</v>
      </c>
      <c r="O348" s="6" t="n">
        <v>10329</v>
      </c>
      <c r="P348">
        <f>SUM(C348:H348)</f>
        <v/>
      </c>
      <c r="Q348">
        <f>I348</f>
        <v/>
      </c>
      <c r="R348">
        <f>J348</f>
        <v/>
      </c>
      <c r="S348">
        <f>SUM(K348:N348)</f>
        <v/>
      </c>
      <c r="T348">
        <f>SUM(P348:S348)</f>
        <v/>
      </c>
      <c r="U348" s="3">
        <f>IF(T348=0,"",P348/T348)</f>
        <v/>
      </c>
      <c r="V348" s="3">
        <f>IF(T348=0,"",Q348/T348)</f>
        <v/>
      </c>
      <c r="W348" s="3">
        <f>IF(T348=0,"",R348/T348)</f>
        <v/>
      </c>
      <c r="X348" s="3">
        <f>IF(T348=0,"",S348/T348)</f>
        <v/>
      </c>
      <c r="Y348" s="4">
        <f>IF(T348=0,"",U348*Pesos!$B$2+V348*Pesos!$B$3+W348*Pesos!$B$4+X348*Pesos!$B$5)</f>
        <v/>
      </c>
    </row>
    <row r="349">
      <c r="A349" s="2" t="n">
        <v>348</v>
      </c>
      <c r="B349" t="n">
        <v>10</v>
      </c>
      <c r="C349" t="n">
        <v>473</v>
      </c>
      <c r="D349" t="n">
        <v>422</v>
      </c>
      <c r="E349" t="n">
        <v>485</v>
      </c>
      <c r="F349" t="n">
        <v>484</v>
      </c>
      <c r="G349" t="n">
        <v>339</v>
      </c>
      <c r="H349" t="n">
        <v>314</v>
      </c>
      <c r="I349" t="n">
        <v>1279</v>
      </c>
      <c r="J349" t="n">
        <v>3655</v>
      </c>
      <c r="K349" t="n">
        <v>4588</v>
      </c>
      <c r="L349" t="n">
        <v>1981</v>
      </c>
      <c r="M349" t="n">
        <v>184</v>
      </c>
      <c r="N349" t="n">
        <v>18</v>
      </c>
      <c r="O349" s="6" t="n">
        <v>14222</v>
      </c>
      <c r="P349">
        <f>SUM(C349:H349)</f>
        <v/>
      </c>
      <c r="Q349">
        <f>I349</f>
        <v/>
      </c>
      <c r="R349">
        <f>J349</f>
        <v/>
      </c>
      <c r="S349">
        <f>SUM(K349:N349)</f>
        <v/>
      </c>
      <c r="T349">
        <f>SUM(P349:S349)</f>
        <v/>
      </c>
      <c r="U349" s="3">
        <f>IF(T349=0,"",P349/T349)</f>
        <v/>
      </c>
      <c r="V349" s="3">
        <f>IF(T349=0,"",Q349/T349)</f>
        <v/>
      </c>
      <c r="W349" s="3">
        <f>IF(T349=0,"",R349/T349)</f>
        <v/>
      </c>
      <c r="X349" s="3">
        <f>IF(T349=0,"",S349/T349)</f>
        <v/>
      </c>
      <c r="Y349" s="4">
        <f>IF(T349=0,"",U349*Pesos!$B$2+V349*Pesos!$B$3+W349*Pesos!$B$4+X349*Pesos!$B$5)</f>
        <v/>
      </c>
    </row>
    <row r="350">
      <c r="A350" s="2" t="n">
        <v>349</v>
      </c>
      <c r="B350" t="n">
        <v>7</v>
      </c>
      <c r="C350" t="n">
        <v>384</v>
      </c>
      <c r="D350" t="n">
        <v>301</v>
      </c>
      <c r="E350" t="n">
        <v>313</v>
      </c>
      <c r="F350" t="n">
        <v>318</v>
      </c>
      <c r="G350" t="n">
        <v>233</v>
      </c>
      <c r="H350" t="n">
        <v>194</v>
      </c>
      <c r="I350" t="n">
        <v>879</v>
      </c>
      <c r="J350" t="n">
        <v>3243</v>
      </c>
      <c r="K350" t="n">
        <v>2748</v>
      </c>
      <c r="L350" t="n">
        <v>1077</v>
      </c>
      <c r="M350" t="n">
        <v>30</v>
      </c>
      <c r="N350" t="n">
        <v>0</v>
      </c>
      <c r="O350" s="6" t="n">
        <v>9720</v>
      </c>
      <c r="P350">
        <f>SUM(C350:H350)</f>
        <v/>
      </c>
      <c r="Q350">
        <f>I350</f>
        <v/>
      </c>
      <c r="R350">
        <f>J350</f>
        <v/>
      </c>
      <c r="S350">
        <f>SUM(K350:N350)</f>
        <v/>
      </c>
      <c r="T350">
        <f>SUM(P350:S350)</f>
        <v/>
      </c>
      <c r="U350" s="3">
        <f>IF(T350=0,"",P350/T350)</f>
        <v/>
      </c>
      <c r="V350" s="3">
        <f>IF(T350=0,"",Q350/T350)</f>
        <v/>
      </c>
      <c r="W350" s="3">
        <f>IF(T350=0,"",R350/T350)</f>
        <v/>
      </c>
      <c r="X350" s="3">
        <f>IF(T350=0,"",S350/T350)</f>
        <v/>
      </c>
      <c r="Y350" s="4">
        <f>IF(T350=0,"",U350*Pesos!$B$2+V350*Pesos!$B$3+W350*Pesos!$B$4+X350*Pesos!$B$5)</f>
        <v/>
      </c>
    </row>
    <row r="351">
      <c r="A351" s="2" t="n">
        <v>350</v>
      </c>
      <c r="B351" t="n">
        <v>10</v>
      </c>
      <c r="C351" t="n">
        <v>561</v>
      </c>
      <c r="D351" t="n">
        <v>458</v>
      </c>
      <c r="E351" t="n">
        <v>503</v>
      </c>
      <c r="F351" t="n">
        <v>475</v>
      </c>
      <c r="G351" t="n">
        <v>586</v>
      </c>
      <c r="H351" t="n">
        <v>396</v>
      </c>
      <c r="I351" t="n">
        <v>1186</v>
      </c>
      <c r="J351" t="n">
        <v>2029</v>
      </c>
      <c r="K351" t="n">
        <v>3654</v>
      </c>
      <c r="L351" t="n">
        <v>2812</v>
      </c>
      <c r="M351" t="n">
        <v>9</v>
      </c>
      <c r="N351" t="n">
        <v>2</v>
      </c>
      <c r="O351" s="6" t="n">
        <v>12671</v>
      </c>
      <c r="P351">
        <f>SUM(C351:H351)</f>
        <v/>
      </c>
      <c r="Q351">
        <f>I351</f>
        <v/>
      </c>
      <c r="R351">
        <f>J351</f>
        <v/>
      </c>
      <c r="S351">
        <f>SUM(K351:N351)</f>
        <v/>
      </c>
      <c r="T351">
        <f>SUM(P351:S351)</f>
        <v/>
      </c>
      <c r="U351" s="3">
        <f>IF(T351=0,"",P351/T351)</f>
        <v/>
      </c>
      <c r="V351" s="3">
        <f>IF(T351=0,"",Q351/T351)</f>
        <v/>
      </c>
      <c r="W351" s="3">
        <f>IF(T351=0,"",R351/T351)</f>
        <v/>
      </c>
      <c r="X351" s="3">
        <f>IF(T351=0,"",S351/T351)</f>
        <v/>
      </c>
      <c r="Y351" s="4">
        <f>IF(T351=0,"",U351*Pesos!$B$2+V351*Pesos!$B$3+W351*Pesos!$B$4+X351*Pesos!$B$5)</f>
        <v/>
      </c>
    </row>
    <row r="352">
      <c r="A352" s="2" t="n">
        <v>351</v>
      </c>
      <c r="B352" t="n">
        <v>12</v>
      </c>
      <c r="C352" t="n">
        <v>545</v>
      </c>
      <c r="D352" t="n">
        <v>511</v>
      </c>
      <c r="E352" t="n">
        <v>1054</v>
      </c>
      <c r="F352" t="n">
        <v>1283</v>
      </c>
      <c r="G352" t="n">
        <v>934</v>
      </c>
      <c r="H352" t="n">
        <v>680</v>
      </c>
      <c r="I352" t="n">
        <v>2164</v>
      </c>
      <c r="J352" t="n">
        <v>2678</v>
      </c>
      <c r="K352" t="n">
        <v>3971</v>
      </c>
      <c r="L352" t="n">
        <v>1945</v>
      </c>
      <c r="M352" t="n">
        <v>360</v>
      </c>
      <c r="N352" t="n">
        <v>0</v>
      </c>
      <c r="O352" s="6" t="n">
        <v>16125</v>
      </c>
      <c r="P352">
        <f>SUM(C352:H352)</f>
        <v/>
      </c>
      <c r="Q352">
        <f>I352</f>
        <v/>
      </c>
      <c r="R352">
        <f>J352</f>
        <v/>
      </c>
      <c r="S352">
        <f>SUM(K352:N352)</f>
        <v/>
      </c>
      <c r="T352">
        <f>SUM(P352:S352)</f>
        <v/>
      </c>
      <c r="U352" s="3">
        <f>IF(T352=0,"",P352/T352)</f>
        <v/>
      </c>
      <c r="V352" s="3">
        <f>IF(T352=0,"",Q352/T352)</f>
        <v/>
      </c>
      <c r="W352" s="3">
        <f>IF(T352=0,"",R352/T352)</f>
        <v/>
      </c>
      <c r="X352" s="3">
        <f>IF(T352=0,"",S352/T352)</f>
        <v/>
      </c>
      <c r="Y352" s="4">
        <f>IF(T352=0,"",U352*Pesos!$B$2+V352*Pesos!$B$3+W352*Pesos!$B$4+X352*Pesos!$B$5)</f>
        <v/>
      </c>
    </row>
    <row r="353">
      <c r="A353" s="2" t="n">
        <v>352</v>
      </c>
      <c r="B353" t="n">
        <v>4</v>
      </c>
      <c r="C353" t="n">
        <v>842</v>
      </c>
      <c r="D353" t="n">
        <v>1151</v>
      </c>
      <c r="E353" t="n">
        <v>1379</v>
      </c>
      <c r="F353" t="n">
        <v>708</v>
      </c>
      <c r="G353" t="n">
        <v>483</v>
      </c>
      <c r="H353" t="n">
        <v>246</v>
      </c>
      <c r="I353" t="n">
        <v>712</v>
      </c>
      <c r="J353" t="n">
        <v>1560</v>
      </c>
      <c r="K353" t="n">
        <v>692</v>
      </c>
      <c r="L353" t="n">
        <v>409</v>
      </c>
      <c r="M353" t="n">
        <v>116</v>
      </c>
      <c r="N353" t="n">
        <v>3</v>
      </c>
      <c r="O353" s="6" t="n">
        <v>8301</v>
      </c>
      <c r="P353">
        <f>SUM(C353:H353)</f>
        <v/>
      </c>
      <c r="Q353">
        <f>I353</f>
        <v/>
      </c>
      <c r="R353">
        <f>J353</f>
        <v/>
      </c>
      <c r="S353">
        <f>SUM(K353:N353)</f>
        <v/>
      </c>
      <c r="T353">
        <f>SUM(P353:S353)</f>
        <v/>
      </c>
      <c r="U353" s="3">
        <f>IF(T353=0,"",P353/T353)</f>
        <v/>
      </c>
      <c r="V353" s="3">
        <f>IF(T353=0,"",Q353/T353)</f>
        <v/>
      </c>
      <c r="W353" s="3">
        <f>IF(T353=0,"",R353/T353)</f>
        <v/>
      </c>
      <c r="X353" s="3">
        <f>IF(T353=0,"",S353/T353)</f>
        <v/>
      </c>
      <c r="Y353" s="4">
        <f>IF(T353=0,"",U353*Pesos!$B$2+V353*Pesos!$B$3+W353*Pesos!$B$4+X353*Pesos!$B$5)</f>
        <v/>
      </c>
    </row>
    <row r="354">
      <c r="A354" s="2" t="n">
        <v>353</v>
      </c>
      <c r="B354" t="n">
        <v>3</v>
      </c>
      <c r="C354" t="n">
        <v>596</v>
      </c>
      <c r="D354" t="n">
        <v>786</v>
      </c>
      <c r="E354" t="n">
        <v>319</v>
      </c>
      <c r="F354" t="n">
        <v>308</v>
      </c>
      <c r="G354" t="n">
        <v>206</v>
      </c>
      <c r="H354" t="n">
        <v>101</v>
      </c>
      <c r="I354" t="n">
        <v>414</v>
      </c>
      <c r="J354" t="n">
        <v>887</v>
      </c>
      <c r="K354" t="n">
        <v>1272</v>
      </c>
      <c r="L354" t="n">
        <v>54</v>
      </c>
      <c r="M354" t="n">
        <v>33</v>
      </c>
      <c r="N354" t="n">
        <v>0</v>
      </c>
      <c r="O354" s="6" t="n">
        <v>4976</v>
      </c>
      <c r="P354">
        <f>SUM(C354:H354)</f>
        <v/>
      </c>
      <c r="Q354">
        <f>I354</f>
        <v/>
      </c>
      <c r="R354">
        <f>J354</f>
        <v/>
      </c>
      <c r="S354">
        <f>SUM(K354:N354)</f>
        <v/>
      </c>
      <c r="T354">
        <f>SUM(P354:S354)</f>
        <v/>
      </c>
      <c r="U354" s="3">
        <f>IF(T354=0,"",P354/T354)</f>
        <v/>
      </c>
      <c r="V354" s="3">
        <f>IF(T354=0,"",Q354/T354)</f>
        <v/>
      </c>
      <c r="W354" s="3">
        <f>IF(T354=0,"",R354/T354)</f>
        <v/>
      </c>
      <c r="X354" s="3">
        <f>IF(T354=0,"",S354/T354)</f>
        <v/>
      </c>
      <c r="Y354" s="4">
        <f>IF(T354=0,"",U354*Pesos!$B$2+V354*Pesos!$B$3+W354*Pesos!$B$4+X354*Pesos!$B$5)</f>
        <v/>
      </c>
    </row>
    <row r="355">
      <c r="A355" s="2" t="n">
        <v>354</v>
      </c>
      <c r="B355" t="n">
        <v>2</v>
      </c>
      <c r="C355" t="n">
        <v>102</v>
      </c>
      <c r="D355" t="n">
        <v>100</v>
      </c>
      <c r="E355" t="n">
        <v>153</v>
      </c>
      <c r="F355" t="n">
        <v>129</v>
      </c>
      <c r="G355" t="n">
        <v>92</v>
      </c>
      <c r="H355" t="n">
        <v>76</v>
      </c>
      <c r="I355" t="n">
        <v>233</v>
      </c>
      <c r="J355" t="n">
        <v>684</v>
      </c>
      <c r="K355" t="n">
        <v>983</v>
      </c>
      <c r="L355" t="n">
        <v>0</v>
      </c>
      <c r="M355" t="n">
        <v>0</v>
      </c>
      <c r="N355" t="n">
        <v>0</v>
      </c>
      <c r="O355" s="6" t="n">
        <v>2552</v>
      </c>
      <c r="P355">
        <f>SUM(C355:H355)</f>
        <v/>
      </c>
      <c r="Q355">
        <f>I355</f>
        <v/>
      </c>
      <c r="R355">
        <f>J355</f>
        <v/>
      </c>
      <c r="S355">
        <f>SUM(K355:N355)</f>
        <v/>
      </c>
      <c r="T355">
        <f>SUM(P355:S355)</f>
        <v/>
      </c>
      <c r="U355" s="3">
        <f>IF(T355=0,"",P355/T355)</f>
        <v/>
      </c>
      <c r="V355" s="3">
        <f>IF(T355=0,"",Q355/T355)</f>
        <v/>
      </c>
      <c r="W355" s="3">
        <f>IF(T355=0,"",R355/T355)</f>
        <v/>
      </c>
      <c r="X355" s="3">
        <f>IF(T355=0,"",S355/T355)</f>
        <v/>
      </c>
      <c r="Y355" s="4">
        <f>IF(T355=0,"",U355*Pesos!$B$2+V355*Pesos!$B$3+W355*Pesos!$B$4+X355*Pesos!$B$5)</f>
        <v/>
      </c>
    </row>
    <row r="356">
      <c r="A356" s="2" t="n">
        <v>355</v>
      </c>
      <c r="B356" t="n">
        <v>12</v>
      </c>
      <c r="C356" t="n">
        <v>1103</v>
      </c>
      <c r="D356" t="n">
        <v>1521</v>
      </c>
      <c r="E356" t="n">
        <v>1284</v>
      </c>
      <c r="F356" t="n">
        <v>475</v>
      </c>
      <c r="G356" t="n">
        <v>390</v>
      </c>
      <c r="H356" t="n">
        <v>281</v>
      </c>
      <c r="I356" t="n">
        <v>1098</v>
      </c>
      <c r="J356" t="n">
        <v>1922</v>
      </c>
      <c r="K356" t="n">
        <v>2506</v>
      </c>
      <c r="L356" t="n">
        <v>3179</v>
      </c>
      <c r="M356" t="n">
        <v>671</v>
      </c>
      <c r="N356" t="n">
        <v>4</v>
      </c>
      <c r="O356" s="6" t="n">
        <v>14434</v>
      </c>
      <c r="P356">
        <f>SUM(C356:H356)</f>
        <v/>
      </c>
      <c r="Q356">
        <f>I356</f>
        <v/>
      </c>
      <c r="R356">
        <f>J356</f>
        <v/>
      </c>
      <c r="S356">
        <f>SUM(K356:N356)</f>
        <v/>
      </c>
      <c r="T356">
        <f>SUM(P356:S356)</f>
        <v/>
      </c>
      <c r="U356" s="3">
        <f>IF(T356=0,"",P356/T356)</f>
        <v/>
      </c>
      <c r="V356" s="3">
        <f>IF(T356=0,"",Q356/T356)</f>
        <v/>
      </c>
      <c r="W356" s="3">
        <f>IF(T356=0,"",R356/T356)</f>
        <v/>
      </c>
      <c r="X356" s="3">
        <f>IF(T356=0,"",S356/T356)</f>
        <v/>
      </c>
      <c r="Y356" s="4">
        <f>IF(T356=0,"",U356*Pesos!$B$2+V356*Pesos!$B$3+W356*Pesos!$B$4+X356*Pesos!$B$5)</f>
        <v/>
      </c>
    </row>
    <row r="357">
      <c r="A357" s="2" t="n">
        <v>356</v>
      </c>
      <c r="B357" t="n">
        <v>10</v>
      </c>
      <c r="C357" t="n">
        <v>735</v>
      </c>
      <c r="D357" t="n">
        <v>831</v>
      </c>
      <c r="E357" t="n">
        <v>841</v>
      </c>
      <c r="F357" t="n">
        <v>488</v>
      </c>
      <c r="G357" t="n">
        <v>542</v>
      </c>
      <c r="H357" t="n">
        <v>561</v>
      </c>
      <c r="I357" t="n">
        <v>1515</v>
      </c>
      <c r="J357" t="n">
        <v>3874</v>
      </c>
      <c r="K357" t="n">
        <v>1942</v>
      </c>
      <c r="L357" t="n">
        <v>1998</v>
      </c>
      <c r="M357" t="n">
        <v>311</v>
      </c>
      <c r="N357" t="n">
        <v>6</v>
      </c>
      <c r="O357" s="6" t="n">
        <v>13644</v>
      </c>
      <c r="P357">
        <f>SUM(C357:H357)</f>
        <v/>
      </c>
      <c r="Q357">
        <f>I357</f>
        <v/>
      </c>
      <c r="R357">
        <f>J357</f>
        <v/>
      </c>
      <c r="S357">
        <f>SUM(K357:N357)</f>
        <v/>
      </c>
      <c r="T357">
        <f>SUM(P357:S357)</f>
        <v/>
      </c>
      <c r="U357" s="3">
        <f>IF(T357=0,"",P357/T357)</f>
        <v/>
      </c>
      <c r="V357" s="3">
        <f>IF(T357=0,"",Q357/T357)</f>
        <v/>
      </c>
      <c r="W357" s="3">
        <f>IF(T357=0,"",R357/T357)</f>
        <v/>
      </c>
      <c r="X357" s="3">
        <f>IF(T357=0,"",S357/T357)</f>
        <v/>
      </c>
      <c r="Y357" s="4">
        <f>IF(T357=0,"",U357*Pesos!$B$2+V357*Pesos!$B$3+W357*Pesos!$B$4+X357*Pesos!$B$5)</f>
        <v/>
      </c>
    </row>
    <row r="358">
      <c r="A358" s="2" t="n">
        <v>357</v>
      </c>
      <c r="B358" t="n">
        <v>10</v>
      </c>
      <c r="C358" t="n">
        <v>570</v>
      </c>
      <c r="D358" t="n">
        <v>629</v>
      </c>
      <c r="E358" t="n">
        <v>519</v>
      </c>
      <c r="F358" t="n">
        <v>392</v>
      </c>
      <c r="G358" t="n">
        <v>438</v>
      </c>
      <c r="H358" t="n">
        <v>347</v>
      </c>
      <c r="I358" t="n">
        <v>2788</v>
      </c>
      <c r="J358" t="n">
        <v>3342</v>
      </c>
      <c r="K358" t="n">
        <v>1926</v>
      </c>
      <c r="L358" t="n">
        <v>1058</v>
      </c>
      <c r="M358" t="n">
        <v>233</v>
      </c>
      <c r="N358" t="n">
        <v>0</v>
      </c>
      <c r="O358" s="6" t="n">
        <v>12242</v>
      </c>
      <c r="P358">
        <f>SUM(C358:H358)</f>
        <v/>
      </c>
      <c r="Q358">
        <f>I358</f>
        <v/>
      </c>
      <c r="R358">
        <f>J358</f>
        <v/>
      </c>
      <c r="S358">
        <f>SUM(K358:N358)</f>
        <v/>
      </c>
      <c r="T358">
        <f>SUM(P358:S358)</f>
        <v/>
      </c>
      <c r="U358" s="3">
        <f>IF(T358=0,"",P358/T358)</f>
        <v/>
      </c>
      <c r="V358" s="3">
        <f>IF(T358=0,"",Q358/T358)</f>
        <v/>
      </c>
      <c r="W358" s="3">
        <f>IF(T358=0,"",R358/T358)</f>
        <v/>
      </c>
      <c r="X358" s="3">
        <f>IF(T358=0,"",S358/T358)</f>
        <v/>
      </c>
      <c r="Y358" s="4">
        <f>IF(T358=0,"",U358*Pesos!$B$2+V358*Pesos!$B$3+W358*Pesos!$B$4+X358*Pesos!$B$5)</f>
        <v/>
      </c>
    </row>
    <row r="359">
      <c r="A359" s="2" t="n">
        <v>358</v>
      </c>
      <c r="B359" t="n">
        <v>14</v>
      </c>
      <c r="C359" t="n">
        <v>931</v>
      </c>
      <c r="D359" t="n">
        <v>654</v>
      </c>
      <c r="E359" t="n">
        <v>678</v>
      </c>
      <c r="F359" t="n">
        <v>507</v>
      </c>
      <c r="G359" t="n">
        <v>467</v>
      </c>
      <c r="H359" t="n">
        <v>303</v>
      </c>
      <c r="I359" t="n">
        <v>1280</v>
      </c>
      <c r="J359" t="n">
        <v>2152</v>
      </c>
      <c r="K359" t="n">
        <v>1702</v>
      </c>
      <c r="L359" t="n">
        <v>3915</v>
      </c>
      <c r="M359" t="n">
        <v>1003</v>
      </c>
      <c r="N359" t="n">
        <v>0</v>
      </c>
      <c r="O359" s="6" t="n">
        <v>13592</v>
      </c>
      <c r="P359">
        <f>SUM(C359:H359)</f>
        <v/>
      </c>
      <c r="Q359">
        <f>I359</f>
        <v/>
      </c>
      <c r="R359">
        <f>J359</f>
        <v/>
      </c>
      <c r="S359">
        <f>SUM(K359:N359)</f>
        <v/>
      </c>
      <c r="T359">
        <f>SUM(P359:S359)</f>
        <v/>
      </c>
      <c r="U359" s="3">
        <f>IF(T359=0,"",P359/T359)</f>
        <v/>
      </c>
      <c r="V359" s="3">
        <f>IF(T359=0,"",Q359/T359)</f>
        <v/>
      </c>
      <c r="W359" s="3">
        <f>IF(T359=0,"",R359/T359)</f>
        <v/>
      </c>
      <c r="X359" s="3">
        <f>IF(T359=0,"",S359/T359)</f>
        <v/>
      </c>
      <c r="Y359" s="4">
        <f>IF(T359=0,"",U359*Pesos!$B$2+V359*Pesos!$B$3+W359*Pesos!$B$4+X359*Pesos!$B$5)</f>
        <v/>
      </c>
    </row>
    <row r="360">
      <c r="A360" s="2" t="n">
        <v>359</v>
      </c>
      <c r="B360" t="n">
        <v>5</v>
      </c>
      <c r="C360" t="n">
        <v>1372</v>
      </c>
      <c r="D360" t="n">
        <v>1061</v>
      </c>
      <c r="E360" t="n">
        <v>1145</v>
      </c>
      <c r="F360" t="n">
        <v>566</v>
      </c>
      <c r="G360" t="n">
        <v>273</v>
      </c>
      <c r="H360" t="n">
        <v>252</v>
      </c>
      <c r="I360" t="n">
        <v>637</v>
      </c>
      <c r="J360" t="n">
        <v>1385</v>
      </c>
      <c r="K360" t="n">
        <v>1989</v>
      </c>
      <c r="L360" t="n">
        <v>630</v>
      </c>
      <c r="M360" t="n">
        <v>14</v>
      </c>
      <c r="N360" t="n">
        <v>0</v>
      </c>
      <c r="O360" s="6" t="n">
        <v>9324</v>
      </c>
      <c r="P360">
        <f>SUM(C360:H360)</f>
        <v/>
      </c>
      <c r="Q360">
        <f>I360</f>
        <v/>
      </c>
      <c r="R360">
        <f>J360</f>
        <v/>
      </c>
      <c r="S360">
        <f>SUM(K360:N360)</f>
        <v/>
      </c>
      <c r="T360">
        <f>SUM(P360:S360)</f>
        <v/>
      </c>
      <c r="U360" s="3">
        <f>IF(T360=0,"",P360/T360)</f>
        <v/>
      </c>
      <c r="V360" s="3">
        <f>IF(T360=0,"",Q360/T360)</f>
        <v/>
      </c>
      <c r="W360" s="3">
        <f>IF(T360=0,"",R360/T360)</f>
        <v/>
      </c>
      <c r="X360" s="3">
        <f>IF(T360=0,"",S360/T360)</f>
        <v/>
      </c>
      <c r="Y360" s="4">
        <f>IF(T360=0,"",U360*Pesos!$B$2+V360*Pesos!$B$3+W360*Pesos!$B$4+X360*Pesos!$B$5)</f>
        <v/>
      </c>
    </row>
    <row r="361">
      <c r="A361" s="2" t="n">
        <v>360</v>
      </c>
      <c r="B361" t="n">
        <v>7</v>
      </c>
      <c r="C361" t="n">
        <v>497</v>
      </c>
      <c r="D361" t="n">
        <v>504</v>
      </c>
      <c r="E361" t="n">
        <v>504</v>
      </c>
      <c r="F361" t="n">
        <v>481</v>
      </c>
      <c r="G361" t="n">
        <v>216</v>
      </c>
      <c r="H361" t="n">
        <v>370</v>
      </c>
      <c r="I361" t="n">
        <v>1262</v>
      </c>
      <c r="J361" t="n">
        <v>1683</v>
      </c>
      <c r="K361" t="n">
        <v>2358</v>
      </c>
      <c r="L361" t="n">
        <v>1224</v>
      </c>
      <c r="M361" t="n">
        <v>5</v>
      </c>
      <c r="N361" t="n">
        <v>0</v>
      </c>
      <c r="O361" s="6" t="n">
        <v>9104</v>
      </c>
      <c r="P361">
        <f>SUM(C361:H361)</f>
        <v/>
      </c>
      <c r="Q361">
        <f>I361</f>
        <v/>
      </c>
      <c r="R361">
        <f>J361</f>
        <v/>
      </c>
      <c r="S361">
        <f>SUM(K361:N361)</f>
        <v/>
      </c>
      <c r="T361">
        <f>SUM(P361:S361)</f>
        <v/>
      </c>
      <c r="U361" s="3">
        <f>IF(T361=0,"",P361/T361)</f>
        <v/>
      </c>
      <c r="V361" s="3">
        <f>IF(T361=0,"",Q361/T361)</f>
        <v/>
      </c>
      <c r="W361" s="3">
        <f>IF(T361=0,"",R361/T361)</f>
        <v/>
      </c>
      <c r="X361" s="3">
        <f>IF(T361=0,"",S361/T361)</f>
        <v/>
      </c>
      <c r="Y361" s="4">
        <f>IF(T361=0,"",U361*Pesos!$B$2+V361*Pesos!$B$3+W361*Pesos!$B$4+X361*Pesos!$B$5)</f>
        <v/>
      </c>
    </row>
    <row r="362">
      <c r="A362" s="2" t="n">
        <v>361</v>
      </c>
      <c r="B362" t="n">
        <v>11</v>
      </c>
      <c r="C362" t="n">
        <v>839</v>
      </c>
      <c r="D362" t="n">
        <v>721</v>
      </c>
      <c r="E362" t="n">
        <v>711</v>
      </c>
      <c r="F362" t="n">
        <v>529</v>
      </c>
      <c r="G362" t="n">
        <v>347</v>
      </c>
      <c r="H362" t="n">
        <v>349</v>
      </c>
      <c r="I362" t="n">
        <v>1265</v>
      </c>
      <c r="J362" t="n">
        <v>2203</v>
      </c>
      <c r="K362" t="n">
        <v>3727</v>
      </c>
      <c r="L362" t="n">
        <v>2565</v>
      </c>
      <c r="M362" t="n">
        <v>270</v>
      </c>
      <c r="N362" t="n">
        <v>4</v>
      </c>
      <c r="O362" s="6" t="n">
        <v>13530</v>
      </c>
      <c r="P362">
        <f>SUM(C362:H362)</f>
        <v/>
      </c>
      <c r="Q362">
        <f>I362</f>
        <v/>
      </c>
      <c r="R362">
        <f>J362</f>
        <v/>
      </c>
      <c r="S362">
        <f>SUM(K362:N362)</f>
        <v/>
      </c>
      <c r="T362">
        <f>SUM(P362:S362)</f>
        <v/>
      </c>
      <c r="U362" s="3">
        <f>IF(T362=0,"",P362/T362)</f>
        <v/>
      </c>
      <c r="V362" s="3">
        <f>IF(T362=0,"",Q362/T362)</f>
        <v/>
      </c>
      <c r="W362" s="3">
        <f>IF(T362=0,"",R362/T362)</f>
        <v/>
      </c>
      <c r="X362" s="3">
        <f>IF(T362=0,"",S362/T362)</f>
        <v/>
      </c>
      <c r="Y362" s="4">
        <f>IF(T362=0,"",U362*Pesos!$B$2+V362*Pesos!$B$3+W362*Pesos!$B$4+X362*Pesos!$B$5)</f>
        <v/>
      </c>
    </row>
    <row r="363">
      <c r="A363" s="2" t="n">
        <v>362</v>
      </c>
      <c r="B363" t="n">
        <v>8</v>
      </c>
      <c r="C363" t="n">
        <v>664</v>
      </c>
      <c r="D363" t="n">
        <v>521</v>
      </c>
      <c r="E363" t="n">
        <v>606</v>
      </c>
      <c r="F363" t="n">
        <v>378</v>
      </c>
      <c r="G363" t="n">
        <v>359</v>
      </c>
      <c r="H363" t="n">
        <v>742</v>
      </c>
      <c r="I363" t="n">
        <v>1321</v>
      </c>
      <c r="J363" t="n">
        <v>3139</v>
      </c>
      <c r="K363" t="n">
        <v>2431</v>
      </c>
      <c r="L363" t="n">
        <v>1435</v>
      </c>
      <c r="M363" t="n">
        <v>0</v>
      </c>
      <c r="N363" t="n">
        <v>0</v>
      </c>
      <c r="O363" s="6" t="n">
        <v>11596</v>
      </c>
      <c r="P363">
        <f>SUM(C363:H363)</f>
        <v/>
      </c>
      <c r="Q363">
        <f>I363</f>
        <v/>
      </c>
      <c r="R363">
        <f>J363</f>
        <v/>
      </c>
      <c r="S363">
        <f>SUM(K363:N363)</f>
        <v/>
      </c>
      <c r="T363">
        <f>SUM(P363:S363)</f>
        <v/>
      </c>
      <c r="U363" s="3">
        <f>IF(T363=0,"",P363/T363)</f>
        <v/>
      </c>
      <c r="V363" s="3">
        <f>IF(T363=0,"",Q363/T363)</f>
        <v/>
      </c>
      <c r="W363" s="3">
        <f>IF(T363=0,"",R363/T363)</f>
        <v/>
      </c>
      <c r="X363" s="3">
        <f>IF(T363=0,"",S363/T363)</f>
        <v/>
      </c>
      <c r="Y363" s="4">
        <f>IF(T363=0,"",U363*Pesos!$B$2+V363*Pesos!$B$3+W363*Pesos!$B$4+X363*Pesos!$B$5)</f>
        <v/>
      </c>
    </row>
    <row r="364">
      <c r="A364" s="2" t="n">
        <v>363</v>
      </c>
      <c r="B364" t="n">
        <v>11</v>
      </c>
      <c r="C364" t="n">
        <v>597</v>
      </c>
      <c r="D364" t="n">
        <v>493</v>
      </c>
      <c r="E364" t="n">
        <v>531</v>
      </c>
      <c r="F364" t="n">
        <v>334</v>
      </c>
      <c r="G364" t="n">
        <v>245</v>
      </c>
      <c r="H364" t="n">
        <v>240</v>
      </c>
      <c r="I364" t="n">
        <v>1234</v>
      </c>
      <c r="J364" t="n">
        <v>1719</v>
      </c>
      <c r="K364" t="n">
        <v>4018</v>
      </c>
      <c r="L364" t="n">
        <v>3102</v>
      </c>
      <c r="M364" t="n">
        <v>557</v>
      </c>
      <c r="N364" t="n">
        <v>0</v>
      </c>
      <c r="O364" s="6" t="n">
        <v>13070</v>
      </c>
      <c r="P364">
        <f>SUM(C364:H364)</f>
        <v/>
      </c>
      <c r="Q364">
        <f>I364</f>
        <v/>
      </c>
      <c r="R364">
        <f>J364</f>
        <v/>
      </c>
      <c r="S364">
        <f>SUM(K364:N364)</f>
        <v/>
      </c>
      <c r="T364">
        <f>SUM(P364:S364)</f>
        <v/>
      </c>
      <c r="U364" s="3">
        <f>IF(T364=0,"",P364/T364)</f>
        <v/>
      </c>
      <c r="V364" s="3">
        <f>IF(T364=0,"",Q364/T364)</f>
        <v/>
      </c>
      <c r="W364" s="3">
        <f>IF(T364=0,"",R364/T364)</f>
        <v/>
      </c>
      <c r="X364" s="3">
        <f>IF(T364=0,"",S364/T364)</f>
        <v/>
      </c>
      <c r="Y364" s="4">
        <f>IF(T364=0,"",U364*Pesos!$B$2+V364*Pesos!$B$3+W364*Pesos!$B$4+X364*Pesos!$B$5)</f>
        <v/>
      </c>
    </row>
    <row r="365">
      <c r="A365" s="2" t="n">
        <v>364</v>
      </c>
      <c r="B365" t="n">
        <v>8</v>
      </c>
      <c r="C365" t="n">
        <v>315</v>
      </c>
      <c r="D365" t="n">
        <v>312</v>
      </c>
      <c r="E365" t="n">
        <v>333</v>
      </c>
      <c r="F365" t="n">
        <v>265</v>
      </c>
      <c r="G365" t="n">
        <v>213</v>
      </c>
      <c r="H365" t="n">
        <v>175</v>
      </c>
      <c r="I365" t="n">
        <v>592</v>
      </c>
      <c r="J365" t="n">
        <v>1609</v>
      </c>
      <c r="K365" t="n">
        <v>3070</v>
      </c>
      <c r="L365" t="n">
        <v>1139</v>
      </c>
      <c r="M365" t="n">
        <v>263</v>
      </c>
      <c r="N365" t="n">
        <v>0</v>
      </c>
      <c r="O365" s="6" t="n">
        <v>8286</v>
      </c>
      <c r="P365">
        <f>SUM(C365:H365)</f>
        <v/>
      </c>
      <c r="Q365">
        <f>I365</f>
        <v/>
      </c>
      <c r="R365">
        <f>J365</f>
        <v/>
      </c>
      <c r="S365">
        <f>SUM(K365:N365)</f>
        <v/>
      </c>
      <c r="T365">
        <f>SUM(P365:S365)</f>
        <v/>
      </c>
      <c r="U365" s="3">
        <f>IF(T365=0,"",P365/T365)</f>
        <v/>
      </c>
      <c r="V365" s="3">
        <f>IF(T365=0,"",Q365/T365)</f>
        <v/>
      </c>
      <c r="W365" s="3">
        <f>IF(T365=0,"",R365/T365)</f>
        <v/>
      </c>
      <c r="X365" s="3">
        <f>IF(T365=0,"",S365/T365)</f>
        <v/>
      </c>
      <c r="Y365" s="4">
        <f>IF(T365=0,"",U365*Pesos!$B$2+V365*Pesos!$B$3+W365*Pesos!$B$4+X365*Pesos!$B$5)</f>
        <v/>
      </c>
    </row>
    <row r="366">
      <c r="A366" s="2" t="n">
        <v>365</v>
      </c>
      <c r="B366" t="n">
        <v>11</v>
      </c>
      <c r="C366" t="n">
        <v>600</v>
      </c>
      <c r="D366" t="n">
        <v>683</v>
      </c>
      <c r="E366" t="n">
        <v>643</v>
      </c>
      <c r="F366" t="n">
        <v>468</v>
      </c>
      <c r="G366" t="n">
        <v>401</v>
      </c>
      <c r="H366" t="n">
        <v>304</v>
      </c>
      <c r="I366" t="n">
        <v>1090</v>
      </c>
      <c r="J366" t="n">
        <v>2351</v>
      </c>
      <c r="K366" t="n">
        <v>4258</v>
      </c>
      <c r="L366" t="n">
        <v>1184</v>
      </c>
      <c r="M366" t="n">
        <v>236</v>
      </c>
      <c r="N366" t="n">
        <v>20</v>
      </c>
      <c r="O366" s="6" t="n">
        <v>12238</v>
      </c>
      <c r="P366">
        <f>SUM(C366:H366)</f>
        <v/>
      </c>
      <c r="Q366">
        <f>I366</f>
        <v/>
      </c>
      <c r="R366">
        <f>J366</f>
        <v/>
      </c>
      <c r="S366">
        <f>SUM(K366:N366)</f>
        <v/>
      </c>
      <c r="T366">
        <f>SUM(P366:S366)</f>
        <v/>
      </c>
      <c r="U366" s="3">
        <f>IF(T366=0,"",P366/T366)</f>
        <v/>
      </c>
      <c r="V366" s="3">
        <f>IF(T366=0,"",Q366/T366)</f>
        <v/>
      </c>
      <c r="W366" s="3">
        <f>IF(T366=0,"",R366/T366)</f>
        <v/>
      </c>
      <c r="X366" s="3">
        <f>IF(T366=0,"",S366/T366)</f>
        <v/>
      </c>
      <c r="Y366" s="4">
        <f>IF(T366=0,"",U366*Pesos!$B$2+V366*Pesos!$B$3+W366*Pesos!$B$4+X366*Pesos!$B$5)</f>
        <v/>
      </c>
    </row>
    <row r="367">
      <c r="A367" s="2" t="n">
        <v>366</v>
      </c>
      <c r="B367" t="n">
        <v>10</v>
      </c>
      <c r="C367" t="n">
        <v>521</v>
      </c>
      <c r="D367" t="n">
        <v>602</v>
      </c>
      <c r="E367" t="n">
        <v>623</v>
      </c>
      <c r="F367" t="n">
        <v>711</v>
      </c>
      <c r="G367" t="n">
        <v>734</v>
      </c>
      <c r="H367" t="n">
        <v>569</v>
      </c>
      <c r="I367" t="n">
        <v>1815</v>
      </c>
      <c r="J367" t="n">
        <v>7325</v>
      </c>
      <c r="K367" t="n">
        <v>1244</v>
      </c>
      <c r="L367" t="n">
        <v>1054</v>
      </c>
      <c r="M367" t="n">
        <v>0</v>
      </c>
      <c r="N367" t="n">
        <v>0</v>
      </c>
      <c r="O367" s="6" t="n">
        <v>15198</v>
      </c>
      <c r="P367">
        <f>SUM(C367:H367)</f>
        <v/>
      </c>
      <c r="Q367">
        <f>I367</f>
        <v/>
      </c>
      <c r="R367">
        <f>J367</f>
        <v/>
      </c>
      <c r="S367">
        <f>SUM(K367:N367)</f>
        <v/>
      </c>
      <c r="T367">
        <f>SUM(P367:S367)</f>
        <v/>
      </c>
      <c r="U367" s="3">
        <f>IF(T367=0,"",P367/T367)</f>
        <v/>
      </c>
      <c r="V367" s="3">
        <f>IF(T367=0,"",Q367/T367)</f>
        <v/>
      </c>
      <c r="W367" s="3">
        <f>IF(T367=0,"",R367/T367)</f>
        <v/>
      </c>
      <c r="X367" s="3">
        <f>IF(T367=0,"",S367/T367)</f>
        <v/>
      </c>
      <c r="Y367" s="4">
        <f>IF(T367=0,"",U367*Pesos!$B$2+V367*Pesos!$B$3+W367*Pesos!$B$4+X367*Pesos!$B$5)</f>
        <v/>
      </c>
    </row>
    <row r="368">
      <c r="A368" s="2" t="n">
        <v>367</v>
      </c>
      <c r="B368" t="n">
        <v>11</v>
      </c>
      <c r="C368" t="n">
        <v>646</v>
      </c>
      <c r="D368" t="n">
        <v>784</v>
      </c>
      <c r="E368" t="n">
        <v>799</v>
      </c>
      <c r="F368" t="n">
        <v>576</v>
      </c>
      <c r="G368" t="n">
        <v>613</v>
      </c>
      <c r="H368" t="n">
        <v>570</v>
      </c>
      <c r="I368" t="n">
        <v>1610</v>
      </c>
      <c r="J368" t="n">
        <v>2355</v>
      </c>
      <c r="K368" t="n">
        <v>4262</v>
      </c>
      <c r="L368" t="n">
        <v>1365</v>
      </c>
      <c r="M368" t="n">
        <v>564</v>
      </c>
      <c r="N368" t="n">
        <v>2</v>
      </c>
      <c r="O368" s="6" t="n">
        <v>14146</v>
      </c>
      <c r="P368">
        <f>SUM(C368:H368)</f>
        <v/>
      </c>
      <c r="Q368">
        <f>I368</f>
        <v/>
      </c>
      <c r="R368">
        <f>J368</f>
        <v/>
      </c>
      <c r="S368">
        <f>SUM(K368:N368)</f>
        <v/>
      </c>
      <c r="T368">
        <f>SUM(P368:S368)</f>
        <v/>
      </c>
      <c r="U368" s="3">
        <f>IF(T368=0,"",P368/T368)</f>
        <v/>
      </c>
      <c r="V368" s="3">
        <f>IF(T368=0,"",Q368/T368)</f>
        <v/>
      </c>
      <c r="W368" s="3">
        <f>IF(T368=0,"",R368/T368)</f>
        <v/>
      </c>
      <c r="X368" s="3">
        <f>IF(T368=0,"",S368/T368)</f>
        <v/>
      </c>
      <c r="Y368" s="4">
        <f>IF(T368=0,"",U368*Pesos!$B$2+V368*Pesos!$B$3+W368*Pesos!$B$4+X368*Pesos!$B$5)</f>
        <v/>
      </c>
    </row>
    <row r="369">
      <c r="A369" s="2" t="n">
        <v>368</v>
      </c>
      <c r="B369" t="n">
        <v>8</v>
      </c>
      <c r="C369" t="n">
        <v>335</v>
      </c>
      <c r="D369" t="n">
        <v>574</v>
      </c>
      <c r="E369" t="n">
        <v>525</v>
      </c>
      <c r="F369" t="n">
        <v>408</v>
      </c>
      <c r="G369" t="n">
        <v>302</v>
      </c>
      <c r="H369" t="n">
        <v>305</v>
      </c>
      <c r="I369" t="n">
        <v>1335</v>
      </c>
      <c r="J369" t="n">
        <v>4581</v>
      </c>
      <c r="K369" t="n">
        <v>4440</v>
      </c>
      <c r="L369" t="n">
        <v>40</v>
      </c>
      <c r="M369" t="n">
        <v>2</v>
      </c>
      <c r="N369" t="n">
        <v>0</v>
      </c>
      <c r="O369" s="6" t="n">
        <v>12847</v>
      </c>
      <c r="P369">
        <f>SUM(C369:H369)</f>
        <v/>
      </c>
      <c r="Q369">
        <f>I369</f>
        <v/>
      </c>
      <c r="R369">
        <f>J369</f>
        <v/>
      </c>
      <c r="S369">
        <f>SUM(K369:N369)</f>
        <v/>
      </c>
      <c r="T369">
        <f>SUM(P369:S369)</f>
        <v/>
      </c>
      <c r="U369" s="3">
        <f>IF(T369=0,"",P369/T369)</f>
        <v/>
      </c>
      <c r="V369" s="3">
        <f>IF(T369=0,"",Q369/T369)</f>
        <v/>
      </c>
      <c r="W369" s="3">
        <f>IF(T369=0,"",R369/T369)</f>
        <v/>
      </c>
      <c r="X369" s="3">
        <f>IF(T369=0,"",S369/T369)</f>
        <v/>
      </c>
      <c r="Y369" s="4">
        <f>IF(T369=0,"",U369*Pesos!$B$2+V369*Pesos!$B$3+W369*Pesos!$B$4+X369*Pesos!$B$5)</f>
        <v/>
      </c>
    </row>
    <row r="370">
      <c r="A370" s="2" t="n">
        <v>369</v>
      </c>
      <c r="B370" t="n">
        <v>3</v>
      </c>
      <c r="C370" t="n">
        <v>232</v>
      </c>
      <c r="D370" t="n">
        <v>351</v>
      </c>
      <c r="E370" t="n">
        <v>437</v>
      </c>
      <c r="F370" t="n">
        <v>345</v>
      </c>
      <c r="G370" t="n">
        <v>417</v>
      </c>
      <c r="H370" t="n">
        <v>145</v>
      </c>
      <c r="I370" t="n">
        <v>997</v>
      </c>
      <c r="J370" t="n">
        <v>837</v>
      </c>
      <c r="K370" t="n">
        <v>565</v>
      </c>
      <c r="L370" t="n">
        <v>311</v>
      </c>
      <c r="M370" t="n">
        <v>107</v>
      </c>
      <c r="N370" t="n">
        <v>3</v>
      </c>
      <c r="O370" s="6" t="n">
        <v>4747</v>
      </c>
      <c r="P370">
        <f>SUM(C370:H370)</f>
        <v/>
      </c>
      <c r="Q370">
        <f>I370</f>
        <v/>
      </c>
      <c r="R370">
        <f>J370</f>
        <v/>
      </c>
      <c r="S370">
        <f>SUM(K370:N370)</f>
        <v/>
      </c>
      <c r="T370">
        <f>SUM(P370:S370)</f>
        <v/>
      </c>
      <c r="U370" s="3">
        <f>IF(T370=0,"",P370/T370)</f>
        <v/>
      </c>
      <c r="V370" s="3">
        <f>IF(T370=0,"",Q370/T370)</f>
        <v/>
      </c>
      <c r="W370" s="3">
        <f>IF(T370=0,"",R370/T370)</f>
        <v/>
      </c>
      <c r="X370" s="3">
        <f>IF(T370=0,"",S370/T370)</f>
        <v/>
      </c>
      <c r="Y370" s="4">
        <f>IF(T370=0,"",U370*Pesos!$B$2+V370*Pesos!$B$3+W370*Pesos!$B$4+X370*Pesos!$B$5)</f>
        <v/>
      </c>
    </row>
    <row r="371">
      <c r="A371" s="2" t="n">
        <v>370</v>
      </c>
      <c r="B371" t="n">
        <v>1</v>
      </c>
      <c r="C371" t="n">
        <v>438</v>
      </c>
      <c r="D371" t="n">
        <v>393</v>
      </c>
      <c r="E371" t="n">
        <v>266</v>
      </c>
      <c r="F371" t="n">
        <v>139</v>
      </c>
      <c r="G371" t="n">
        <v>154</v>
      </c>
      <c r="H371" t="n">
        <v>232</v>
      </c>
      <c r="I371" t="n">
        <v>357</v>
      </c>
      <c r="J371" t="n">
        <v>451</v>
      </c>
      <c r="K371" t="n">
        <v>39</v>
      </c>
      <c r="L371" t="n">
        <v>6</v>
      </c>
      <c r="M371" t="n">
        <v>7</v>
      </c>
      <c r="N371" t="n">
        <v>0</v>
      </c>
      <c r="O371" s="6" t="n">
        <v>2482</v>
      </c>
      <c r="P371">
        <f>SUM(C371:H371)</f>
        <v/>
      </c>
      <c r="Q371">
        <f>I371</f>
        <v/>
      </c>
      <c r="R371">
        <f>J371</f>
        <v/>
      </c>
      <c r="S371">
        <f>SUM(K371:N371)</f>
        <v/>
      </c>
      <c r="T371">
        <f>SUM(P371:S371)</f>
        <v/>
      </c>
      <c r="U371" s="3">
        <f>IF(T371=0,"",P371/T371)</f>
        <v/>
      </c>
      <c r="V371" s="3">
        <f>IF(T371=0,"",Q371/T371)</f>
        <v/>
      </c>
      <c r="W371" s="3">
        <f>IF(T371=0,"",R371/T371)</f>
        <v/>
      </c>
      <c r="X371" s="3">
        <f>IF(T371=0,"",S371/T371)</f>
        <v/>
      </c>
      <c r="Y371" s="4">
        <f>IF(T371=0,"",U371*Pesos!$B$2+V371*Pesos!$B$3+W371*Pesos!$B$4+X371*Pesos!$B$5)</f>
        <v/>
      </c>
    </row>
    <row r="372">
      <c r="A372" s="2" t="n">
        <v>371</v>
      </c>
      <c r="B372" t="n">
        <v>9</v>
      </c>
      <c r="C372" t="n">
        <v>513</v>
      </c>
      <c r="D372" t="n">
        <v>386</v>
      </c>
      <c r="E372" t="n">
        <v>494</v>
      </c>
      <c r="F372" t="n">
        <v>353</v>
      </c>
      <c r="G372" t="n">
        <v>245</v>
      </c>
      <c r="H372" t="n">
        <v>242</v>
      </c>
      <c r="I372" t="n">
        <v>752</v>
      </c>
      <c r="J372" t="n">
        <v>1521</v>
      </c>
      <c r="K372" t="n">
        <v>2267</v>
      </c>
      <c r="L372" t="n">
        <v>3614</v>
      </c>
      <c r="M372" t="n">
        <v>91</v>
      </c>
      <c r="N372" t="n">
        <v>3</v>
      </c>
      <c r="O372" s="6" t="n">
        <v>10481</v>
      </c>
      <c r="P372">
        <f>SUM(C372:H372)</f>
        <v/>
      </c>
      <c r="Q372">
        <f>I372</f>
        <v/>
      </c>
      <c r="R372">
        <f>J372</f>
        <v/>
      </c>
      <c r="S372">
        <f>SUM(K372:N372)</f>
        <v/>
      </c>
      <c r="T372">
        <f>SUM(P372:S372)</f>
        <v/>
      </c>
      <c r="U372" s="3">
        <f>IF(T372=0,"",P372/T372)</f>
        <v/>
      </c>
      <c r="V372" s="3">
        <f>IF(T372=0,"",Q372/T372)</f>
        <v/>
      </c>
      <c r="W372" s="3">
        <f>IF(T372=0,"",R372/T372)</f>
        <v/>
      </c>
      <c r="X372" s="3">
        <f>IF(T372=0,"",S372/T372)</f>
        <v/>
      </c>
      <c r="Y372" s="4">
        <f>IF(T372=0,"",U372*Pesos!$B$2+V372*Pesos!$B$3+W372*Pesos!$B$4+X372*Pesos!$B$5)</f>
        <v/>
      </c>
    </row>
    <row r="373">
      <c r="A373" s="2" t="n">
        <v>372</v>
      </c>
      <c r="B373" t="n">
        <v>9</v>
      </c>
      <c r="C373" t="n">
        <v>610</v>
      </c>
      <c r="D373" t="n">
        <v>392</v>
      </c>
      <c r="E373" t="n">
        <v>436</v>
      </c>
      <c r="F373" t="n">
        <v>395</v>
      </c>
      <c r="G373" t="n">
        <v>278</v>
      </c>
      <c r="H373" t="n">
        <v>216</v>
      </c>
      <c r="I373" t="n">
        <v>864</v>
      </c>
      <c r="J373" t="n">
        <v>2002</v>
      </c>
      <c r="K373" t="n">
        <v>2731</v>
      </c>
      <c r="L373" t="n">
        <v>1557</v>
      </c>
      <c r="M373" t="n">
        <v>74</v>
      </c>
      <c r="N373" t="n">
        <v>7</v>
      </c>
      <c r="O373" s="6" t="n">
        <v>9562</v>
      </c>
      <c r="P373">
        <f>SUM(C373:H373)</f>
        <v/>
      </c>
      <c r="Q373">
        <f>I373</f>
        <v/>
      </c>
      <c r="R373">
        <f>J373</f>
        <v/>
      </c>
      <c r="S373">
        <f>SUM(K373:N373)</f>
        <v/>
      </c>
      <c r="T373">
        <f>SUM(P373:S373)</f>
        <v/>
      </c>
      <c r="U373" s="3">
        <f>IF(T373=0,"",P373/T373)</f>
        <v/>
      </c>
      <c r="V373" s="3">
        <f>IF(T373=0,"",Q373/T373)</f>
        <v/>
      </c>
      <c r="W373" s="3">
        <f>IF(T373=0,"",R373/T373)</f>
        <v/>
      </c>
      <c r="X373" s="3">
        <f>IF(T373=0,"",S373/T373)</f>
        <v/>
      </c>
      <c r="Y373" s="4">
        <f>IF(T373=0,"",U373*Pesos!$B$2+V373*Pesos!$B$3+W373*Pesos!$B$4+X373*Pesos!$B$5)</f>
        <v/>
      </c>
    </row>
    <row r="374">
      <c r="A374" s="2" t="n">
        <v>373</v>
      </c>
      <c r="B374" t="n">
        <v>9</v>
      </c>
      <c r="C374" t="n">
        <v>550</v>
      </c>
      <c r="D374" t="n">
        <v>495</v>
      </c>
      <c r="E374" t="n">
        <v>476</v>
      </c>
      <c r="F374" t="n">
        <v>355</v>
      </c>
      <c r="G374" t="n">
        <v>258</v>
      </c>
      <c r="H374" t="n">
        <v>275</v>
      </c>
      <c r="I374" t="n">
        <v>2544</v>
      </c>
      <c r="J374" t="n">
        <v>1643</v>
      </c>
      <c r="K374" t="n">
        <v>2107</v>
      </c>
      <c r="L374" t="n">
        <v>3169</v>
      </c>
      <c r="M374" t="n">
        <v>82</v>
      </c>
      <c r="N374" t="n">
        <v>0</v>
      </c>
      <c r="O374" s="6" t="n">
        <v>11954</v>
      </c>
      <c r="P374">
        <f>SUM(C374:H374)</f>
        <v/>
      </c>
      <c r="Q374">
        <f>I374</f>
        <v/>
      </c>
      <c r="R374">
        <f>J374</f>
        <v/>
      </c>
      <c r="S374">
        <f>SUM(K374:N374)</f>
        <v/>
      </c>
      <c r="T374">
        <f>SUM(P374:S374)</f>
        <v/>
      </c>
      <c r="U374" s="3">
        <f>IF(T374=0,"",P374/T374)</f>
        <v/>
      </c>
      <c r="V374" s="3">
        <f>IF(T374=0,"",Q374/T374)</f>
        <v/>
      </c>
      <c r="W374" s="3">
        <f>IF(T374=0,"",R374/T374)</f>
        <v/>
      </c>
      <c r="X374" s="3">
        <f>IF(T374=0,"",S374/T374)</f>
        <v/>
      </c>
      <c r="Y374" s="4">
        <f>IF(T374=0,"",U374*Pesos!$B$2+V374*Pesos!$B$3+W374*Pesos!$B$4+X374*Pesos!$B$5)</f>
        <v/>
      </c>
    </row>
    <row r="375">
      <c r="A375" s="2" t="n">
        <v>374</v>
      </c>
      <c r="B375" t="n">
        <v>7</v>
      </c>
      <c r="C375" t="n">
        <v>1876</v>
      </c>
      <c r="D375" t="n">
        <v>2013</v>
      </c>
      <c r="E375" t="n">
        <v>1954</v>
      </c>
      <c r="F375" t="n">
        <v>2336</v>
      </c>
      <c r="G375" t="n">
        <v>5965</v>
      </c>
      <c r="H375" t="n">
        <v>400</v>
      </c>
      <c r="I375" t="n">
        <v>1355</v>
      </c>
      <c r="J375" t="n">
        <v>139</v>
      </c>
      <c r="K375" t="n">
        <v>35</v>
      </c>
      <c r="L375" t="n">
        <v>28</v>
      </c>
      <c r="M375" t="n">
        <v>0</v>
      </c>
      <c r="N375" t="n">
        <v>0</v>
      </c>
      <c r="O375" s="6" t="n">
        <v>16101</v>
      </c>
      <c r="P375">
        <f>SUM(C375:H375)</f>
        <v/>
      </c>
      <c r="Q375">
        <f>I375</f>
        <v/>
      </c>
      <c r="R375">
        <f>J375</f>
        <v/>
      </c>
      <c r="S375">
        <f>SUM(K375:N375)</f>
        <v/>
      </c>
      <c r="T375">
        <f>SUM(P375:S375)</f>
        <v/>
      </c>
      <c r="U375" s="3">
        <f>IF(T375=0,"",P375/T375)</f>
        <v/>
      </c>
      <c r="V375" s="3">
        <f>IF(T375=0,"",Q375/T375)</f>
        <v/>
      </c>
      <c r="W375" s="3">
        <f>IF(T375=0,"",R375/T375)</f>
        <v/>
      </c>
      <c r="X375" s="3">
        <f>IF(T375=0,"",S375/T375)</f>
        <v/>
      </c>
      <c r="Y375" s="4">
        <f>IF(T375=0,"",U375*Pesos!$B$2+V375*Pesos!$B$3+W375*Pesos!$B$4+X375*Pesos!$B$5)</f>
        <v/>
      </c>
    </row>
    <row r="376">
      <c r="A376" s="2" t="n">
        <v>376</v>
      </c>
      <c r="B376" t="n">
        <v>10</v>
      </c>
      <c r="C376" t="n">
        <v>332</v>
      </c>
      <c r="D376" t="n">
        <v>266</v>
      </c>
      <c r="E376" t="n">
        <v>293</v>
      </c>
      <c r="F376" t="n">
        <v>294</v>
      </c>
      <c r="G376" t="n">
        <v>218</v>
      </c>
      <c r="H376" t="n">
        <v>97</v>
      </c>
      <c r="I376" t="n">
        <v>671</v>
      </c>
      <c r="J376" t="n">
        <v>3010</v>
      </c>
      <c r="K376" t="n">
        <v>602</v>
      </c>
      <c r="L376" t="n">
        <v>1312</v>
      </c>
      <c r="M376" t="n">
        <v>1973</v>
      </c>
      <c r="N376" t="n">
        <v>0</v>
      </c>
      <c r="O376" s="6" t="n">
        <v>9068</v>
      </c>
      <c r="P376">
        <f>SUM(C376:H376)</f>
        <v/>
      </c>
      <c r="Q376">
        <f>I376</f>
        <v/>
      </c>
      <c r="R376">
        <f>J376</f>
        <v/>
      </c>
      <c r="S376">
        <f>SUM(K376:N376)</f>
        <v/>
      </c>
      <c r="T376">
        <f>SUM(P376:S376)</f>
        <v/>
      </c>
      <c r="U376" s="3">
        <f>IF(T376=0,"",P376/T376)</f>
        <v/>
      </c>
      <c r="V376" s="3">
        <f>IF(T376=0,"",Q376/T376)</f>
        <v/>
      </c>
      <c r="W376" s="3">
        <f>IF(T376=0,"",R376/T376)</f>
        <v/>
      </c>
      <c r="X376" s="3">
        <f>IF(T376=0,"",S376/T376)</f>
        <v/>
      </c>
      <c r="Y376" s="4">
        <f>IF(T376=0,"",U376*Pesos!$B$2+V376*Pesos!$B$3+W376*Pesos!$B$4+X376*Pesos!$B$5)</f>
        <v/>
      </c>
    </row>
    <row r="377">
      <c r="A377" s="2" t="n">
        <v>377</v>
      </c>
      <c r="B377" t="n">
        <v>7</v>
      </c>
      <c r="C377" t="n">
        <v>363</v>
      </c>
      <c r="D377" t="n">
        <v>302</v>
      </c>
      <c r="E377" t="n">
        <v>278</v>
      </c>
      <c r="F377" t="n">
        <v>270</v>
      </c>
      <c r="G377" t="n">
        <v>136</v>
      </c>
      <c r="H377" t="n">
        <v>126</v>
      </c>
      <c r="I377" t="n">
        <v>523</v>
      </c>
      <c r="J377" t="n">
        <v>982</v>
      </c>
      <c r="K377" t="n">
        <v>903</v>
      </c>
      <c r="L377" t="n">
        <v>1329</v>
      </c>
      <c r="M377" t="n">
        <v>1375</v>
      </c>
      <c r="N377" t="n">
        <v>0</v>
      </c>
      <c r="O377" s="6" t="n">
        <v>6587</v>
      </c>
      <c r="P377">
        <f>SUM(C377:H377)</f>
        <v/>
      </c>
      <c r="Q377">
        <f>I377</f>
        <v/>
      </c>
      <c r="R377">
        <f>J377</f>
        <v/>
      </c>
      <c r="S377">
        <f>SUM(K377:N377)</f>
        <v/>
      </c>
      <c r="T377">
        <f>SUM(P377:S377)</f>
        <v/>
      </c>
      <c r="U377" s="3">
        <f>IF(T377=0,"",P377/T377)</f>
        <v/>
      </c>
      <c r="V377" s="3">
        <f>IF(T377=0,"",Q377/T377)</f>
        <v/>
      </c>
      <c r="W377" s="3">
        <f>IF(T377=0,"",R377/T377)</f>
        <v/>
      </c>
      <c r="X377" s="3">
        <f>IF(T377=0,"",S377/T377)</f>
        <v/>
      </c>
      <c r="Y377" s="4">
        <f>IF(T377=0,"",U377*Pesos!$B$2+V377*Pesos!$B$3+W377*Pesos!$B$4+X377*Pesos!$B$5)</f>
        <v/>
      </c>
    </row>
    <row r="378">
      <c r="A378" s="2" t="n">
        <v>378</v>
      </c>
      <c r="B378" t="n">
        <v>9</v>
      </c>
      <c r="C378" t="n">
        <v>318</v>
      </c>
      <c r="D378" t="n">
        <v>275</v>
      </c>
      <c r="E378" t="n">
        <v>223</v>
      </c>
      <c r="F378" t="n">
        <v>201</v>
      </c>
      <c r="G378" t="n">
        <v>146</v>
      </c>
      <c r="H378" t="n">
        <v>88</v>
      </c>
      <c r="I378" t="n">
        <v>560</v>
      </c>
      <c r="J378" t="n">
        <v>4405</v>
      </c>
      <c r="K378" t="n">
        <v>804</v>
      </c>
      <c r="L378" t="n">
        <v>2791</v>
      </c>
      <c r="M378" t="n">
        <v>116</v>
      </c>
      <c r="N378" t="n">
        <v>0</v>
      </c>
      <c r="O378" s="6" t="n">
        <v>9927</v>
      </c>
      <c r="P378">
        <f>SUM(C378:H378)</f>
        <v/>
      </c>
      <c r="Q378">
        <f>I378</f>
        <v/>
      </c>
      <c r="R378">
        <f>J378</f>
        <v/>
      </c>
      <c r="S378">
        <f>SUM(K378:N378)</f>
        <v/>
      </c>
      <c r="T378">
        <f>SUM(P378:S378)</f>
        <v/>
      </c>
      <c r="U378" s="3">
        <f>IF(T378=0,"",P378/T378)</f>
        <v/>
      </c>
      <c r="V378" s="3">
        <f>IF(T378=0,"",Q378/T378)</f>
        <v/>
      </c>
      <c r="W378" s="3">
        <f>IF(T378=0,"",R378/T378)</f>
        <v/>
      </c>
      <c r="X378" s="3">
        <f>IF(T378=0,"",S378/T378)</f>
        <v/>
      </c>
      <c r="Y378" s="4">
        <f>IF(T378=0,"",U378*Pesos!$B$2+V378*Pesos!$B$3+W378*Pesos!$B$4+X378*Pesos!$B$5)</f>
        <v/>
      </c>
    </row>
    <row r="379">
      <c r="A379" s="2" t="n">
        <v>379</v>
      </c>
      <c r="B379" t="n">
        <v>7</v>
      </c>
      <c r="C379" t="n">
        <v>296</v>
      </c>
      <c r="D379" t="n">
        <v>248</v>
      </c>
      <c r="E379" t="n">
        <v>192</v>
      </c>
      <c r="F379" t="n">
        <v>127</v>
      </c>
      <c r="G379" t="n">
        <v>62</v>
      </c>
      <c r="H379" t="n">
        <v>75</v>
      </c>
      <c r="I379" t="n">
        <v>540</v>
      </c>
      <c r="J379" t="n">
        <v>1106</v>
      </c>
      <c r="K379" t="n">
        <v>699</v>
      </c>
      <c r="L379" t="n">
        <v>4042</v>
      </c>
      <c r="M379" t="n">
        <v>13</v>
      </c>
      <c r="N379" t="n">
        <v>0</v>
      </c>
      <c r="O379" s="6" t="n">
        <v>7400</v>
      </c>
      <c r="P379">
        <f>SUM(C379:H379)</f>
        <v/>
      </c>
      <c r="Q379">
        <f>I379</f>
        <v/>
      </c>
      <c r="R379">
        <f>J379</f>
        <v/>
      </c>
      <c r="S379">
        <f>SUM(K379:N379)</f>
        <v/>
      </c>
      <c r="T379">
        <f>SUM(P379:S379)</f>
        <v/>
      </c>
      <c r="U379" s="3">
        <f>IF(T379=0,"",P379/T379)</f>
        <v/>
      </c>
      <c r="V379" s="3">
        <f>IF(T379=0,"",Q379/T379)</f>
        <v/>
      </c>
      <c r="W379" s="3">
        <f>IF(T379=0,"",R379/T379)</f>
        <v/>
      </c>
      <c r="X379" s="3">
        <f>IF(T379=0,"",S379/T379)</f>
        <v/>
      </c>
      <c r="Y379" s="4">
        <f>IF(T379=0,"",U379*Pesos!$B$2+V379*Pesos!$B$3+W379*Pesos!$B$4+X379*Pesos!$B$5)</f>
        <v/>
      </c>
    </row>
    <row r="380">
      <c r="A380" s="2" t="n">
        <v>380</v>
      </c>
      <c r="B380" t="n">
        <v>11</v>
      </c>
      <c r="C380" t="n">
        <v>324</v>
      </c>
      <c r="D380" t="n">
        <v>260</v>
      </c>
      <c r="E380" t="n">
        <v>263</v>
      </c>
      <c r="F380" t="n">
        <v>213</v>
      </c>
      <c r="G380" t="n">
        <v>180</v>
      </c>
      <c r="H380" t="n">
        <v>125</v>
      </c>
      <c r="I380" t="n">
        <v>635</v>
      </c>
      <c r="J380" t="n">
        <v>1415</v>
      </c>
      <c r="K380" t="n">
        <v>7639</v>
      </c>
      <c r="L380" t="n">
        <v>56</v>
      </c>
      <c r="M380" t="n">
        <v>0</v>
      </c>
      <c r="N380" t="n">
        <v>0</v>
      </c>
      <c r="O380" s="6" t="n">
        <v>11110</v>
      </c>
      <c r="P380">
        <f>SUM(C380:H380)</f>
        <v/>
      </c>
      <c r="Q380">
        <f>I380</f>
        <v/>
      </c>
      <c r="R380">
        <f>J380</f>
        <v/>
      </c>
      <c r="S380">
        <f>SUM(K380:N380)</f>
        <v/>
      </c>
      <c r="T380">
        <f>SUM(P380:S380)</f>
        <v/>
      </c>
      <c r="U380" s="3">
        <f>IF(T380=0,"",P380/T380)</f>
        <v/>
      </c>
      <c r="V380" s="3">
        <f>IF(T380=0,"",Q380/T380)</f>
        <v/>
      </c>
      <c r="W380" s="3">
        <f>IF(T380=0,"",R380/T380)</f>
        <v/>
      </c>
      <c r="X380" s="3">
        <f>IF(T380=0,"",S380/T380)</f>
        <v/>
      </c>
      <c r="Y380" s="4">
        <f>IF(T380=0,"",U380*Pesos!$B$2+V380*Pesos!$B$3+W380*Pesos!$B$4+X380*Pesos!$B$5)</f>
        <v/>
      </c>
    </row>
    <row r="381">
      <c r="A381" s="2" t="n">
        <v>381</v>
      </c>
      <c r="B381" t="n">
        <v>8</v>
      </c>
      <c r="C381" t="n">
        <v>207</v>
      </c>
      <c r="D381" t="n">
        <v>235</v>
      </c>
      <c r="E381" t="n">
        <v>244</v>
      </c>
      <c r="F381" t="n">
        <v>207</v>
      </c>
      <c r="G381" t="n">
        <v>140</v>
      </c>
      <c r="H381" t="n">
        <v>78</v>
      </c>
      <c r="I381" t="n">
        <v>644</v>
      </c>
      <c r="J381" t="n">
        <v>1329</v>
      </c>
      <c r="K381" t="n">
        <v>661</v>
      </c>
      <c r="L381" t="n">
        <v>3417</v>
      </c>
      <c r="M381" t="n">
        <v>621</v>
      </c>
      <c r="N381" t="n">
        <v>0</v>
      </c>
      <c r="O381" s="6" t="n">
        <v>7783</v>
      </c>
      <c r="P381">
        <f>SUM(C381:H381)</f>
        <v/>
      </c>
      <c r="Q381">
        <f>I381</f>
        <v/>
      </c>
      <c r="R381">
        <f>J381</f>
        <v/>
      </c>
      <c r="S381">
        <f>SUM(K381:N381)</f>
        <v/>
      </c>
      <c r="T381">
        <f>SUM(P381:S381)</f>
        <v/>
      </c>
      <c r="U381" s="3">
        <f>IF(T381=0,"",P381/T381)</f>
        <v/>
      </c>
      <c r="V381" s="3">
        <f>IF(T381=0,"",Q381/T381)</f>
        <v/>
      </c>
      <c r="W381" s="3">
        <f>IF(T381=0,"",R381/T381)</f>
        <v/>
      </c>
      <c r="X381" s="3">
        <f>IF(T381=0,"",S381/T381)</f>
        <v/>
      </c>
      <c r="Y381" s="4">
        <f>IF(T381=0,"",U381*Pesos!$B$2+V381*Pesos!$B$3+W381*Pesos!$B$4+X381*Pesos!$B$5)</f>
        <v/>
      </c>
    </row>
    <row r="382">
      <c r="A382" s="2" t="n">
        <v>382</v>
      </c>
      <c r="B382" t="n">
        <v>7</v>
      </c>
      <c r="C382" t="n">
        <v>616</v>
      </c>
      <c r="D382" t="n">
        <v>627</v>
      </c>
      <c r="E382" t="n">
        <v>670</v>
      </c>
      <c r="F382" t="n">
        <v>1141</v>
      </c>
      <c r="G382" t="n">
        <v>394</v>
      </c>
      <c r="H382" t="n">
        <v>467</v>
      </c>
      <c r="I382" t="n">
        <v>1243</v>
      </c>
      <c r="J382" t="n">
        <v>3369</v>
      </c>
      <c r="K382" t="n">
        <v>3821</v>
      </c>
      <c r="L382" t="n">
        <v>65</v>
      </c>
      <c r="M382" t="n">
        <v>3</v>
      </c>
      <c r="N382" t="n">
        <v>0</v>
      </c>
      <c r="O382" s="6" t="n">
        <v>12416</v>
      </c>
      <c r="P382">
        <f>SUM(C382:H382)</f>
        <v/>
      </c>
      <c r="Q382">
        <f>I382</f>
        <v/>
      </c>
      <c r="R382">
        <f>J382</f>
        <v/>
      </c>
      <c r="S382">
        <f>SUM(K382:N382)</f>
        <v/>
      </c>
      <c r="T382">
        <f>SUM(P382:S382)</f>
        <v/>
      </c>
      <c r="U382" s="3">
        <f>IF(T382=0,"",P382/T382)</f>
        <v/>
      </c>
      <c r="V382" s="3">
        <f>IF(T382=0,"",Q382/T382)</f>
        <v/>
      </c>
      <c r="W382" s="3">
        <f>IF(T382=0,"",R382/T382)</f>
        <v/>
      </c>
      <c r="X382" s="3">
        <f>IF(T382=0,"",S382/T382)</f>
        <v/>
      </c>
      <c r="Y382" s="4">
        <f>IF(T382=0,"",U382*Pesos!$B$2+V382*Pesos!$B$3+W382*Pesos!$B$4+X382*Pesos!$B$5)</f>
        <v/>
      </c>
    </row>
    <row r="383">
      <c r="A383" s="2" t="n">
        <v>383</v>
      </c>
      <c r="B383" t="n">
        <v>4</v>
      </c>
      <c r="C383" t="n">
        <v>1278</v>
      </c>
      <c r="D383" t="n">
        <v>909</v>
      </c>
      <c r="E383" t="n">
        <v>2114</v>
      </c>
      <c r="F383" t="n">
        <v>2859</v>
      </c>
      <c r="G383" t="n">
        <v>1812</v>
      </c>
      <c r="H383" t="n">
        <v>269</v>
      </c>
      <c r="I383" t="n">
        <v>435</v>
      </c>
      <c r="J383" t="n">
        <v>73</v>
      </c>
      <c r="K383" t="n">
        <v>26</v>
      </c>
      <c r="L383" t="n">
        <v>12</v>
      </c>
      <c r="M383" t="n">
        <v>15</v>
      </c>
      <c r="N383" t="n">
        <v>0</v>
      </c>
      <c r="O383" s="6" t="n">
        <v>9802</v>
      </c>
      <c r="P383">
        <f>SUM(C383:H383)</f>
        <v/>
      </c>
      <c r="Q383">
        <f>I383</f>
        <v/>
      </c>
      <c r="R383">
        <f>J383</f>
        <v/>
      </c>
      <c r="S383">
        <f>SUM(K383:N383)</f>
        <v/>
      </c>
      <c r="T383">
        <f>SUM(P383:S383)</f>
        <v/>
      </c>
      <c r="U383" s="3">
        <f>IF(T383=0,"",P383/T383)</f>
        <v/>
      </c>
      <c r="V383" s="3">
        <f>IF(T383=0,"",Q383/T383)</f>
        <v/>
      </c>
      <c r="W383" s="3">
        <f>IF(T383=0,"",R383/T383)</f>
        <v/>
      </c>
      <c r="X383" s="3">
        <f>IF(T383=0,"",S383/T383)</f>
        <v/>
      </c>
      <c r="Y383" s="4">
        <f>IF(T383=0,"",U383*Pesos!$B$2+V383*Pesos!$B$3+W383*Pesos!$B$4+X383*Pesos!$B$5)</f>
        <v/>
      </c>
    </row>
    <row r="384">
      <c r="A384" s="2" t="n">
        <v>384</v>
      </c>
      <c r="B384" t="n">
        <v>4</v>
      </c>
      <c r="C384" t="n">
        <v>279</v>
      </c>
      <c r="D384" t="n">
        <v>180</v>
      </c>
      <c r="E384" t="n">
        <v>250</v>
      </c>
      <c r="F384" t="n">
        <v>240</v>
      </c>
      <c r="G384" t="n">
        <v>103</v>
      </c>
      <c r="H384" t="n">
        <v>136</v>
      </c>
      <c r="I384" t="n">
        <v>557</v>
      </c>
      <c r="J384" t="n">
        <v>1316</v>
      </c>
      <c r="K384" t="n">
        <v>1204</v>
      </c>
      <c r="L384" t="n">
        <v>742</v>
      </c>
      <c r="M384" t="n">
        <v>758</v>
      </c>
      <c r="N384" t="n">
        <v>0</v>
      </c>
      <c r="O384" s="6" t="n">
        <v>5765</v>
      </c>
      <c r="P384">
        <f>SUM(C384:H384)</f>
        <v/>
      </c>
      <c r="Q384">
        <f>I384</f>
        <v/>
      </c>
      <c r="R384">
        <f>J384</f>
        <v/>
      </c>
      <c r="S384">
        <f>SUM(K384:N384)</f>
        <v/>
      </c>
      <c r="T384">
        <f>SUM(P384:S384)</f>
        <v/>
      </c>
      <c r="U384" s="3">
        <f>IF(T384=0,"",P384/T384)</f>
        <v/>
      </c>
      <c r="V384" s="3">
        <f>IF(T384=0,"",Q384/T384)</f>
        <v/>
      </c>
      <c r="W384" s="3">
        <f>IF(T384=0,"",R384/T384)</f>
        <v/>
      </c>
      <c r="X384" s="3">
        <f>IF(T384=0,"",S384/T384)</f>
        <v/>
      </c>
      <c r="Y384" s="4">
        <f>IF(T384=0,"",U384*Pesos!$B$2+V384*Pesos!$B$3+W384*Pesos!$B$4+X384*Pesos!$B$5)</f>
        <v/>
      </c>
    </row>
    <row r="385">
      <c r="A385" s="2" t="n">
        <v>385</v>
      </c>
      <c r="B385" t="n">
        <v>10</v>
      </c>
      <c r="C385" t="n">
        <v>820</v>
      </c>
      <c r="D385" t="n">
        <v>1011</v>
      </c>
      <c r="E385" t="n">
        <v>1115</v>
      </c>
      <c r="F385" t="n">
        <v>1867</v>
      </c>
      <c r="G385" t="n">
        <v>2490</v>
      </c>
      <c r="H385" t="n">
        <v>401</v>
      </c>
      <c r="I385" t="n">
        <v>1089</v>
      </c>
      <c r="J385" t="n">
        <v>1962</v>
      </c>
      <c r="K385" t="n">
        <v>1592</v>
      </c>
      <c r="L385" t="n">
        <v>1703</v>
      </c>
      <c r="M385" t="n">
        <v>244</v>
      </c>
      <c r="N385" t="n">
        <v>6</v>
      </c>
      <c r="O385" s="6" t="n">
        <v>14300</v>
      </c>
      <c r="P385">
        <f>SUM(C385:H385)</f>
        <v/>
      </c>
      <c r="Q385">
        <f>I385</f>
        <v/>
      </c>
      <c r="R385">
        <f>J385</f>
        <v/>
      </c>
      <c r="S385">
        <f>SUM(K385:N385)</f>
        <v/>
      </c>
      <c r="T385">
        <f>SUM(P385:S385)</f>
        <v/>
      </c>
      <c r="U385" s="3">
        <f>IF(T385=0,"",P385/T385)</f>
        <v/>
      </c>
      <c r="V385" s="3">
        <f>IF(T385=0,"",Q385/T385)</f>
        <v/>
      </c>
      <c r="W385" s="3">
        <f>IF(T385=0,"",R385/T385)</f>
        <v/>
      </c>
      <c r="X385" s="3">
        <f>IF(T385=0,"",S385/T385)</f>
        <v/>
      </c>
      <c r="Y385" s="4">
        <f>IF(T385=0,"",U385*Pesos!$B$2+V385*Pesos!$B$3+W385*Pesos!$B$4+X385*Pesos!$B$5)</f>
        <v/>
      </c>
    </row>
    <row r="386">
      <c r="A386" s="2" t="n">
        <v>386</v>
      </c>
      <c r="B386" t="n">
        <v>12</v>
      </c>
      <c r="C386" t="n">
        <v>919</v>
      </c>
      <c r="D386" t="n">
        <v>1192</v>
      </c>
      <c r="E386" t="n">
        <v>753</v>
      </c>
      <c r="F386" t="n">
        <v>724</v>
      </c>
      <c r="G386" t="n">
        <v>565</v>
      </c>
      <c r="H386" t="n">
        <v>457</v>
      </c>
      <c r="I386" t="n">
        <v>1639</v>
      </c>
      <c r="J386" t="n">
        <v>4256</v>
      </c>
      <c r="K386" t="n">
        <v>5723</v>
      </c>
      <c r="L386" t="n">
        <v>255</v>
      </c>
      <c r="M386" t="n">
        <v>0</v>
      </c>
      <c r="N386" t="n">
        <v>0</v>
      </c>
      <c r="O386" s="6" t="n">
        <v>16483</v>
      </c>
      <c r="P386">
        <f>SUM(C386:H386)</f>
        <v/>
      </c>
      <c r="Q386">
        <f>I386</f>
        <v/>
      </c>
      <c r="R386">
        <f>J386</f>
        <v/>
      </c>
      <c r="S386">
        <f>SUM(K386:N386)</f>
        <v/>
      </c>
      <c r="T386">
        <f>SUM(P386:S386)</f>
        <v/>
      </c>
      <c r="U386" s="3">
        <f>IF(T386=0,"",P386/T386)</f>
        <v/>
      </c>
      <c r="V386" s="3">
        <f>IF(T386=0,"",Q386/T386)</f>
        <v/>
      </c>
      <c r="W386" s="3">
        <f>IF(T386=0,"",R386/T386)</f>
        <v/>
      </c>
      <c r="X386" s="3">
        <f>IF(T386=0,"",S386/T386)</f>
        <v/>
      </c>
      <c r="Y386" s="4">
        <f>IF(T386=0,"",U386*Pesos!$B$2+V386*Pesos!$B$3+W386*Pesos!$B$4+X386*Pesos!$B$5)</f>
        <v/>
      </c>
    </row>
    <row r="387">
      <c r="A387" s="2" t="n">
        <v>387</v>
      </c>
      <c r="B387" t="n">
        <v>9</v>
      </c>
      <c r="C387" t="n">
        <v>1120</v>
      </c>
      <c r="D387" t="n">
        <v>876</v>
      </c>
      <c r="E387" t="n">
        <v>827</v>
      </c>
      <c r="F387" t="n">
        <v>654</v>
      </c>
      <c r="G387" t="n">
        <v>582</v>
      </c>
      <c r="H387" t="n">
        <v>440</v>
      </c>
      <c r="I387" t="n">
        <v>1971</v>
      </c>
      <c r="J387" t="n">
        <v>3492</v>
      </c>
      <c r="K387" t="n">
        <v>3291</v>
      </c>
      <c r="L387" t="n">
        <v>1147</v>
      </c>
      <c r="M387" t="n">
        <v>174</v>
      </c>
      <c r="N387" t="n">
        <v>44</v>
      </c>
      <c r="O387" s="6" t="n">
        <v>14618</v>
      </c>
      <c r="P387">
        <f>SUM(C387:H387)</f>
        <v/>
      </c>
      <c r="Q387">
        <f>I387</f>
        <v/>
      </c>
      <c r="R387">
        <f>J387</f>
        <v/>
      </c>
      <c r="S387">
        <f>SUM(K387:N387)</f>
        <v/>
      </c>
      <c r="T387">
        <f>SUM(P387:S387)</f>
        <v/>
      </c>
      <c r="U387" s="3">
        <f>IF(T387=0,"",P387/T387)</f>
        <v/>
      </c>
      <c r="V387" s="3">
        <f>IF(T387=0,"",Q387/T387)</f>
        <v/>
      </c>
      <c r="W387" s="3">
        <f>IF(T387=0,"",R387/T387)</f>
        <v/>
      </c>
      <c r="X387" s="3">
        <f>IF(T387=0,"",S387/T387)</f>
        <v/>
      </c>
      <c r="Y387" s="4">
        <f>IF(T387=0,"",U387*Pesos!$B$2+V387*Pesos!$B$3+W387*Pesos!$B$4+X387*Pesos!$B$5)</f>
        <v/>
      </c>
    </row>
    <row r="388">
      <c r="A388" s="2" t="n">
        <v>388</v>
      </c>
      <c r="B388" t="n">
        <v>9</v>
      </c>
      <c r="C388" t="n">
        <v>817</v>
      </c>
      <c r="D388" t="n">
        <v>742</v>
      </c>
      <c r="E388" t="n">
        <v>1586</v>
      </c>
      <c r="F388" t="n">
        <v>1283</v>
      </c>
      <c r="G388" t="n">
        <v>613</v>
      </c>
      <c r="H388" t="n">
        <v>544</v>
      </c>
      <c r="I388" t="n">
        <v>1528</v>
      </c>
      <c r="J388" t="n">
        <v>3410</v>
      </c>
      <c r="K388" t="n">
        <v>1366</v>
      </c>
      <c r="L388" t="n">
        <v>37</v>
      </c>
      <c r="M388" t="n">
        <v>10</v>
      </c>
      <c r="N388" t="n">
        <v>0</v>
      </c>
      <c r="O388" s="6" t="n">
        <v>11936</v>
      </c>
      <c r="P388">
        <f>SUM(C388:H388)</f>
        <v/>
      </c>
      <c r="Q388">
        <f>I388</f>
        <v/>
      </c>
      <c r="R388">
        <f>J388</f>
        <v/>
      </c>
      <c r="S388">
        <f>SUM(K388:N388)</f>
        <v/>
      </c>
      <c r="T388">
        <f>SUM(P388:S388)</f>
        <v/>
      </c>
      <c r="U388" s="3">
        <f>IF(T388=0,"",P388/T388)</f>
        <v/>
      </c>
      <c r="V388" s="3">
        <f>IF(T388=0,"",Q388/T388)</f>
        <v/>
      </c>
      <c r="W388" s="3">
        <f>IF(T388=0,"",R388/T388)</f>
        <v/>
      </c>
      <c r="X388" s="3">
        <f>IF(T388=0,"",S388/T388)</f>
        <v/>
      </c>
      <c r="Y388" s="4">
        <f>IF(T388=0,"",U388*Pesos!$B$2+V388*Pesos!$B$3+W388*Pesos!$B$4+X388*Pesos!$B$5)</f>
        <v/>
      </c>
    </row>
    <row r="389">
      <c r="A389" s="2" t="n">
        <v>389</v>
      </c>
      <c r="B389" t="n">
        <v>8</v>
      </c>
      <c r="C389" t="n">
        <v>1037</v>
      </c>
      <c r="D389" t="n">
        <v>921</v>
      </c>
      <c r="E389" t="n">
        <v>1019</v>
      </c>
      <c r="F389" t="n">
        <v>669</v>
      </c>
      <c r="G389" t="n">
        <v>555</v>
      </c>
      <c r="H389" t="n">
        <v>601</v>
      </c>
      <c r="I389" t="n">
        <v>1599</v>
      </c>
      <c r="J389" t="n">
        <v>2484</v>
      </c>
      <c r="K389" t="n">
        <v>1842</v>
      </c>
      <c r="L389" t="n">
        <v>229</v>
      </c>
      <c r="M389" t="n">
        <v>107</v>
      </c>
      <c r="N389" t="n">
        <v>0</v>
      </c>
      <c r="O389" s="6" t="n">
        <v>11063</v>
      </c>
      <c r="P389">
        <f>SUM(C389:H389)</f>
        <v/>
      </c>
      <c r="Q389">
        <f>I389</f>
        <v/>
      </c>
      <c r="R389">
        <f>J389</f>
        <v/>
      </c>
      <c r="S389">
        <f>SUM(K389:N389)</f>
        <v/>
      </c>
      <c r="T389">
        <f>SUM(P389:S389)</f>
        <v/>
      </c>
      <c r="U389" s="3">
        <f>IF(T389=0,"",P389/T389)</f>
        <v/>
      </c>
      <c r="V389" s="3">
        <f>IF(T389=0,"",Q389/T389)</f>
        <v/>
      </c>
      <c r="W389" s="3">
        <f>IF(T389=0,"",R389/T389)</f>
        <v/>
      </c>
      <c r="X389" s="3">
        <f>IF(T389=0,"",S389/T389)</f>
        <v/>
      </c>
      <c r="Y389" s="4">
        <f>IF(T389=0,"",U389*Pesos!$B$2+V389*Pesos!$B$3+W389*Pesos!$B$4+X389*Pesos!$B$5)</f>
        <v/>
      </c>
    </row>
    <row r="390">
      <c r="A390" s="2" t="n">
        <v>390</v>
      </c>
      <c r="B390" t="n">
        <v>7</v>
      </c>
      <c r="C390" t="n">
        <v>609</v>
      </c>
      <c r="D390" t="n">
        <v>540</v>
      </c>
      <c r="E390" t="n">
        <v>998</v>
      </c>
      <c r="F390" t="n">
        <v>987</v>
      </c>
      <c r="G390" t="n">
        <v>620</v>
      </c>
      <c r="H390" t="n">
        <v>612</v>
      </c>
      <c r="I390" t="n">
        <v>1376</v>
      </c>
      <c r="J390" t="n">
        <v>2503</v>
      </c>
      <c r="K390" t="n">
        <v>1141</v>
      </c>
      <c r="L390" t="n">
        <v>7</v>
      </c>
      <c r="M390" t="n">
        <v>0</v>
      </c>
      <c r="N390" t="n">
        <v>0</v>
      </c>
      <c r="O390" s="6" t="n">
        <v>9393</v>
      </c>
      <c r="P390">
        <f>SUM(C390:H390)</f>
        <v/>
      </c>
      <c r="Q390">
        <f>I390</f>
        <v/>
      </c>
      <c r="R390">
        <f>J390</f>
        <v/>
      </c>
      <c r="S390">
        <f>SUM(K390:N390)</f>
        <v/>
      </c>
      <c r="T390">
        <f>SUM(P390:S390)</f>
        <v/>
      </c>
      <c r="U390" s="3">
        <f>IF(T390=0,"",P390/T390)</f>
        <v/>
      </c>
      <c r="V390" s="3">
        <f>IF(T390=0,"",Q390/T390)</f>
        <v/>
      </c>
      <c r="W390" s="3">
        <f>IF(T390=0,"",R390/T390)</f>
        <v/>
      </c>
      <c r="X390" s="3">
        <f>IF(T390=0,"",S390/T390)</f>
        <v/>
      </c>
      <c r="Y390" s="4">
        <f>IF(T390=0,"",U390*Pesos!$B$2+V390*Pesos!$B$3+W390*Pesos!$B$4+X390*Pesos!$B$5)</f>
        <v/>
      </c>
    </row>
    <row r="391">
      <c r="A391" s="2" t="n">
        <v>391</v>
      </c>
      <c r="B391" t="n">
        <v>4</v>
      </c>
      <c r="C391" t="n">
        <v>2105</v>
      </c>
      <c r="D391" t="n">
        <v>1891</v>
      </c>
      <c r="E391" t="n">
        <v>968</v>
      </c>
      <c r="F391" t="n">
        <v>335</v>
      </c>
      <c r="G391" t="n">
        <v>256</v>
      </c>
      <c r="H391" t="n">
        <v>238</v>
      </c>
      <c r="I391" t="n">
        <v>772</v>
      </c>
      <c r="J391" t="n">
        <v>1505</v>
      </c>
      <c r="K391" t="n">
        <v>775</v>
      </c>
      <c r="L391" t="n">
        <v>4</v>
      </c>
      <c r="M391" t="n">
        <v>0</v>
      </c>
      <c r="N391" t="n">
        <v>0</v>
      </c>
      <c r="O391" s="6" t="n">
        <v>8849</v>
      </c>
      <c r="P391">
        <f>SUM(C391:H391)</f>
        <v/>
      </c>
      <c r="Q391">
        <f>I391</f>
        <v/>
      </c>
      <c r="R391">
        <f>J391</f>
        <v/>
      </c>
      <c r="S391">
        <f>SUM(K391:N391)</f>
        <v/>
      </c>
      <c r="T391">
        <f>SUM(P391:S391)</f>
        <v/>
      </c>
      <c r="U391" s="3">
        <f>IF(T391=0,"",P391/T391)</f>
        <v/>
      </c>
      <c r="V391" s="3">
        <f>IF(T391=0,"",Q391/T391)</f>
        <v/>
      </c>
      <c r="W391" s="3">
        <f>IF(T391=0,"",R391/T391)</f>
        <v/>
      </c>
      <c r="X391" s="3">
        <f>IF(T391=0,"",S391/T391)</f>
        <v/>
      </c>
      <c r="Y391" s="4">
        <f>IF(T391=0,"",U391*Pesos!$B$2+V391*Pesos!$B$3+W391*Pesos!$B$4+X391*Pesos!$B$5)</f>
        <v/>
      </c>
    </row>
    <row r="392">
      <c r="A392" s="2" t="n">
        <v>392</v>
      </c>
      <c r="B392" t="n">
        <v>7</v>
      </c>
      <c r="C392" t="n">
        <v>509</v>
      </c>
      <c r="D392" t="n">
        <v>510</v>
      </c>
      <c r="E392" t="n">
        <v>595</v>
      </c>
      <c r="F392" t="n">
        <v>738</v>
      </c>
      <c r="G392" t="n">
        <v>633</v>
      </c>
      <c r="H392" t="n">
        <v>696</v>
      </c>
      <c r="I392" t="n">
        <v>1699</v>
      </c>
      <c r="J392" t="n">
        <v>3033</v>
      </c>
      <c r="K392" t="n">
        <v>903</v>
      </c>
      <c r="L392" t="n">
        <v>20</v>
      </c>
      <c r="M392" t="n">
        <v>8</v>
      </c>
      <c r="N392" t="n">
        <v>0</v>
      </c>
      <c r="O392" s="6" t="n">
        <v>9344</v>
      </c>
      <c r="P392">
        <f>SUM(C392:H392)</f>
        <v/>
      </c>
      <c r="Q392">
        <f>I392</f>
        <v/>
      </c>
      <c r="R392">
        <f>J392</f>
        <v/>
      </c>
      <c r="S392">
        <f>SUM(K392:N392)</f>
        <v/>
      </c>
      <c r="T392">
        <f>SUM(P392:S392)</f>
        <v/>
      </c>
      <c r="U392" s="3">
        <f>IF(T392=0,"",P392/T392)</f>
        <v/>
      </c>
      <c r="V392" s="3">
        <f>IF(T392=0,"",Q392/T392)</f>
        <v/>
      </c>
      <c r="W392" s="3">
        <f>IF(T392=0,"",R392/T392)</f>
        <v/>
      </c>
      <c r="X392" s="3">
        <f>IF(T392=0,"",S392/T392)</f>
        <v/>
      </c>
      <c r="Y392" s="4">
        <f>IF(T392=0,"",U392*Pesos!$B$2+V392*Pesos!$B$3+W392*Pesos!$B$4+X392*Pesos!$B$5)</f>
        <v/>
      </c>
    </row>
    <row r="393">
      <c r="A393" s="2" t="n">
        <v>393</v>
      </c>
      <c r="B393" t="n">
        <v>11</v>
      </c>
      <c r="C393" t="n">
        <v>2672</v>
      </c>
      <c r="D393" t="n">
        <v>2524</v>
      </c>
      <c r="E393" t="n">
        <v>2506</v>
      </c>
      <c r="F393" t="n">
        <v>1853</v>
      </c>
      <c r="G393" t="n">
        <v>1287</v>
      </c>
      <c r="H393" t="n">
        <v>999</v>
      </c>
      <c r="I393" t="n">
        <v>3665</v>
      </c>
      <c r="J393" t="n">
        <v>4991</v>
      </c>
      <c r="K393" t="n">
        <v>4156</v>
      </c>
      <c r="L393" t="n">
        <v>402</v>
      </c>
      <c r="M393" t="n">
        <v>205</v>
      </c>
      <c r="N393" t="n">
        <v>36</v>
      </c>
      <c r="O393" s="6" t="n">
        <v>25296</v>
      </c>
      <c r="P393">
        <f>SUM(C393:H393)</f>
        <v/>
      </c>
      <c r="Q393">
        <f>I393</f>
        <v/>
      </c>
      <c r="R393">
        <f>J393</f>
        <v/>
      </c>
      <c r="S393">
        <f>SUM(K393:N393)</f>
        <v/>
      </c>
      <c r="T393">
        <f>SUM(P393:S393)</f>
        <v/>
      </c>
      <c r="U393" s="3">
        <f>IF(T393=0,"",P393/T393)</f>
        <v/>
      </c>
      <c r="V393" s="3">
        <f>IF(T393=0,"",Q393/T393)</f>
        <v/>
      </c>
      <c r="W393" s="3">
        <f>IF(T393=0,"",R393/T393)</f>
        <v/>
      </c>
      <c r="X393" s="3">
        <f>IF(T393=0,"",S393/T393)</f>
        <v/>
      </c>
      <c r="Y393" s="4">
        <f>IF(T393=0,"",U393*Pesos!$B$2+V393*Pesos!$B$3+W393*Pesos!$B$4+X393*Pesos!$B$5)</f>
        <v/>
      </c>
    </row>
    <row r="394">
      <c r="A394" s="2" t="n">
        <v>394</v>
      </c>
      <c r="B394" t="n">
        <v>5</v>
      </c>
      <c r="C394" t="n">
        <v>915</v>
      </c>
      <c r="D394" t="n">
        <v>844</v>
      </c>
      <c r="E394" t="n">
        <v>973</v>
      </c>
      <c r="F394" t="n">
        <v>799</v>
      </c>
      <c r="G394" t="n">
        <v>751</v>
      </c>
      <c r="H394" t="n">
        <v>606</v>
      </c>
      <c r="I394" t="n">
        <v>1907</v>
      </c>
      <c r="J394" t="n">
        <v>1790</v>
      </c>
      <c r="K394" t="n">
        <v>870</v>
      </c>
      <c r="L394" t="n">
        <v>281</v>
      </c>
      <c r="M394" t="n">
        <v>105</v>
      </c>
      <c r="N394" t="n">
        <v>25</v>
      </c>
      <c r="O394" s="6" t="n">
        <v>9866</v>
      </c>
      <c r="P394">
        <f>SUM(C394:H394)</f>
        <v/>
      </c>
      <c r="Q394">
        <f>I394</f>
        <v/>
      </c>
      <c r="R394">
        <f>J394</f>
        <v/>
      </c>
      <c r="S394">
        <f>SUM(K394:N394)</f>
        <v/>
      </c>
      <c r="T394">
        <f>SUM(P394:S394)</f>
        <v/>
      </c>
      <c r="U394" s="3">
        <f>IF(T394=0,"",P394/T394)</f>
        <v/>
      </c>
      <c r="V394" s="3">
        <f>IF(T394=0,"",Q394/T394)</f>
        <v/>
      </c>
      <c r="W394" s="3">
        <f>IF(T394=0,"",R394/T394)</f>
        <v/>
      </c>
      <c r="X394" s="3">
        <f>IF(T394=0,"",S394/T394)</f>
        <v/>
      </c>
      <c r="Y394" s="4">
        <f>IF(T394=0,"",U394*Pesos!$B$2+V394*Pesos!$B$3+W394*Pesos!$B$4+X394*Pesos!$B$5)</f>
        <v/>
      </c>
    </row>
    <row r="395">
      <c r="A395" s="2" t="n">
        <v>395</v>
      </c>
      <c r="B395" t="n">
        <v>5</v>
      </c>
      <c r="C395" t="n">
        <v>789</v>
      </c>
      <c r="D395" t="n">
        <v>648</v>
      </c>
      <c r="E395" t="n">
        <v>734</v>
      </c>
      <c r="F395" t="n">
        <v>594</v>
      </c>
      <c r="G395" t="n">
        <v>414</v>
      </c>
      <c r="H395" t="n">
        <v>326</v>
      </c>
      <c r="I395" t="n">
        <v>1463</v>
      </c>
      <c r="J395" t="n">
        <v>1548</v>
      </c>
      <c r="K395" t="n">
        <v>1141</v>
      </c>
      <c r="L395" t="n">
        <v>342</v>
      </c>
      <c r="M395" t="n">
        <v>265</v>
      </c>
      <c r="N395" t="n">
        <v>113</v>
      </c>
      <c r="O395" s="6" t="n">
        <v>8377</v>
      </c>
      <c r="P395">
        <f>SUM(C395:H395)</f>
        <v/>
      </c>
      <c r="Q395">
        <f>I395</f>
        <v/>
      </c>
      <c r="R395">
        <f>J395</f>
        <v/>
      </c>
      <c r="S395">
        <f>SUM(K395:N395)</f>
        <v/>
      </c>
      <c r="T395">
        <f>SUM(P395:S395)</f>
        <v/>
      </c>
      <c r="U395" s="3">
        <f>IF(T395=0,"",P395/T395)</f>
        <v/>
      </c>
      <c r="V395" s="3">
        <f>IF(T395=0,"",Q395/T395)</f>
        <v/>
      </c>
      <c r="W395" s="3">
        <f>IF(T395=0,"",R395/T395)</f>
        <v/>
      </c>
      <c r="X395" s="3">
        <f>IF(T395=0,"",S395/T395)</f>
        <v/>
      </c>
      <c r="Y395" s="4">
        <f>IF(T395=0,"",U395*Pesos!$B$2+V395*Pesos!$B$3+W395*Pesos!$B$4+X395*Pesos!$B$5)</f>
        <v/>
      </c>
    </row>
    <row r="396">
      <c r="A396" s="2" t="n">
        <v>396</v>
      </c>
      <c r="B396" t="n">
        <v>8</v>
      </c>
      <c r="C396" t="n">
        <v>762</v>
      </c>
      <c r="D396" t="n">
        <v>588</v>
      </c>
      <c r="E396" t="n">
        <v>430</v>
      </c>
      <c r="F396" t="n">
        <v>491</v>
      </c>
      <c r="G396" t="n">
        <v>373</v>
      </c>
      <c r="H396" t="n">
        <v>299</v>
      </c>
      <c r="I396" t="n">
        <v>1077</v>
      </c>
      <c r="J396" t="n">
        <v>2105</v>
      </c>
      <c r="K396" t="n">
        <v>4394</v>
      </c>
      <c r="L396" t="n">
        <v>601</v>
      </c>
      <c r="M396" t="n">
        <v>62</v>
      </c>
      <c r="N396" t="n">
        <v>20</v>
      </c>
      <c r="O396" s="6" t="n">
        <v>11202</v>
      </c>
      <c r="P396">
        <f>SUM(C396:H396)</f>
        <v/>
      </c>
      <c r="Q396">
        <f>I396</f>
        <v/>
      </c>
      <c r="R396">
        <f>J396</f>
        <v/>
      </c>
      <c r="S396">
        <f>SUM(K396:N396)</f>
        <v/>
      </c>
      <c r="T396">
        <f>SUM(P396:S396)</f>
        <v/>
      </c>
      <c r="U396" s="3">
        <f>IF(T396=0,"",P396/T396)</f>
        <v/>
      </c>
      <c r="V396" s="3">
        <f>IF(T396=0,"",Q396/T396)</f>
        <v/>
      </c>
      <c r="W396" s="3">
        <f>IF(T396=0,"",R396/T396)</f>
        <v/>
      </c>
      <c r="X396" s="3">
        <f>IF(T396=0,"",S396/T396)</f>
        <v/>
      </c>
      <c r="Y396" s="4">
        <f>IF(T396=0,"",U396*Pesos!$B$2+V396*Pesos!$B$3+W396*Pesos!$B$4+X396*Pesos!$B$5)</f>
        <v/>
      </c>
    </row>
    <row r="397">
      <c r="A397" s="2" t="n">
        <v>397</v>
      </c>
      <c r="B397" t="n">
        <v>13</v>
      </c>
      <c r="C397" t="n">
        <v>668</v>
      </c>
      <c r="D397" t="n">
        <v>566</v>
      </c>
      <c r="E397" t="n">
        <v>647</v>
      </c>
      <c r="F397" t="n">
        <v>550</v>
      </c>
      <c r="G397" t="n">
        <v>389</v>
      </c>
      <c r="H397" t="n">
        <v>312</v>
      </c>
      <c r="I397" t="n">
        <v>1478</v>
      </c>
      <c r="J397" t="n">
        <v>3216</v>
      </c>
      <c r="K397" t="n">
        <v>9426</v>
      </c>
      <c r="L397" t="n">
        <v>359</v>
      </c>
      <c r="M397" t="n">
        <v>2</v>
      </c>
      <c r="N397" t="n">
        <v>1</v>
      </c>
      <c r="O397" s="6" t="n">
        <v>17614</v>
      </c>
      <c r="P397">
        <f>SUM(C397:H397)</f>
        <v/>
      </c>
      <c r="Q397">
        <f>I397</f>
        <v/>
      </c>
      <c r="R397">
        <f>J397</f>
        <v/>
      </c>
      <c r="S397">
        <f>SUM(K397:N397)</f>
        <v/>
      </c>
      <c r="T397">
        <f>SUM(P397:S397)</f>
        <v/>
      </c>
      <c r="U397" s="3">
        <f>IF(T397=0,"",P397/T397)</f>
        <v/>
      </c>
      <c r="V397" s="3">
        <f>IF(T397=0,"",Q397/T397)</f>
        <v/>
      </c>
      <c r="W397" s="3">
        <f>IF(T397=0,"",R397/T397)</f>
        <v/>
      </c>
      <c r="X397" s="3">
        <f>IF(T397=0,"",S397/T397)</f>
        <v/>
      </c>
      <c r="Y397" s="4">
        <f>IF(T397=0,"",U397*Pesos!$B$2+V397*Pesos!$B$3+W397*Pesos!$B$4+X397*Pesos!$B$5)</f>
        <v/>
      </c>
    </row>
    <row r="398">
      <c r="A398" s="2" t="n">
        <v>398</v>
      </c>
      <c r="B398" t="n">
        <v>6</v>
      </c>
      <c r="C398" t="n">
        <v>444</v>
      </c>
      <c r="D398" t="n">
        <v>451</v>
      </c>
      <c r="E398" t="n">
        <v>452</v>
      </c>
      <c r="F398" t="n">
        <v>519</v>
      </c>
      <c r="G398" t="n">
        <v>390</v>
      </c>
      <c r="H398" t="n">
        <v>271</v>
      </c>
      <c r="I398" t="n">
        <v>1781</v>
      </c>
      <c r="J398" t="n">
        <v>4997</v>
      </c>
      <c r="K398" t="n">
        <v>3115</v>
      </c>
      <c r="L398" t="n">
        <v>2</v>
      </c>
      <c r="M398" t="n">
        <v>0</v>
      </c>
      <c r="N398" t="n">
        <v>0</v>
      </c>
      <c r="O398" s="6" t="n">
        <v>12422</v>
      </c>
      <c r="P398">
        <f>SUM(C398:H398)</f>
        <v/>
      </c>
      <c r="Q398">
        <f>I398</f>
        <v/>
      </c>
      <c r="R398">
        <f>J398</f>
        <v/>
      </c>
      <c r="S398">
        <f>SUM(K398:N398)</f>
        <v/>
      </c>
      <c r="T398">
        <f>SUM(P398:S398)</f>
        <v/>
      </c>
      <c r="U398" s="3">
        <f>IF(T398=0,"",P398/T398)</f>
        <v/>
      </c>
      <c r="V398" s="3">
        <f>IF(T398=0,"",Q398/T398)</f>
        <v/>
      </c>
      <c r="W398" s="3">
        <f>IF(T398=0,"",R398/T398)</f>
        <v/>
      </c>
      <c r="X398" s="3">
        <f>IF(T398=0,"",S398/T398)</f>
        <v/>
      </c>
      <c r="Y398" s="4">
        <f>IF(T398=0,"",U398*Pesos!$B$2+V398*Pesos!$B$3+W398*Pesos!$B$4+X398*Pesos!$B$5)</f>
        <v/>
      </c>
    </row>
    <row r="399">
      <c r="A399" s="2" t="n">
        <v>399</v>
      </c>
      <c r="B399" t="n">
        <v>8</v>
      </c>
      <c r="C399" t="n">
        <v>401</v>
      </c>
      <c r="D399" t="n">
        <v>395</v>
      </c>
      <c r="E399" t="n">
        <v>497</v>
      </c>
      <c r="F399" t="n">
        <v>375</v>
      </c>
      <c r="G399" t="n">
        <v>324</v>
      </c>
      <c r="H399" t="n">
        <v>246</v>
      </c>
      <c r="I399" t="n">
        <v>1122</v>
      </c>
      <c r="J399" t="n">
        <v>3486</v>
      </c>
      <c r="K399" t="n">
        <v>4366</v>
      </c>
      <c r="L399" t="n">
        <v>114</v>
      </c>
      <c r="M399" t="n">
        <v>0</v>
      </c>
      <c r="N399" t="n">
        <v>0</v>
      </c>
      <c r="O399" s="6" t="n">
        <v>11326</v>
      </c>
      <c r="P399">
        <f>SUM(C399:H399)</f>
        <v/>
      </c>
      <c r="Q399">
        <f>I399</f>
        <v/>
      </c>
      <c r="R399">
        <f>J399</f>
        <v/>
      </c>
      <c r="S399">
        <f>SUM(K399:N399)</f>
        <v/>
      </c>
      <c r="T399">
        <f>SUM(P399:S399)</f>
        <v/>
      </c>
      <c r="U399" s="3">
        <f>IF(T399=0,"",P399/T399)</f>
        <v/>
      </c>
      <c r="V399" s="3">
        <f>IF(T399=0,"",Q399/T399)</f>
        <v/>
      </c>
      <c r="W399" s="3">
        <f>IF(T399=0,"",R399/T399)</f>
        <v/>
      </c>
      <c r="X399" s="3">
        <f>IF(T399=0,"",S399/T399)</f>
        <v/>
      </c>
      <c r="Y399" s="4">
        <f>IF(T399=0,"",U399*Pesos!$B$2+V399*Pesos!$B$3+W399*Pesos!$B$4+X399*Pesos!$B$5)</f>
        <v/>
      </c>
    </row>
    <row r="400">
      <c r="A400" s="2" t="n">
        <v>400</v>
      </c>
      <c r="B400" t="n">
        <v>9</v>
      </c>
      <c r="C400" t="n">
        <v>458</v>
      </c>
      <c r="D400" t="n">
        <v>446</v>
      </c>
      <c r="E400" t="n">
        <v>514</v>
      </c>
      <c r="F400" t="n">
        <v>384</v>
      </c>
      <c r="G400" t="n">
        <v>356</v>
      </c>
      <c r="H400" t="n">
        <v>590</v>
      </c>
      <c r="I400" t="n">
        <v>1324</v>
      </c>
      <c r="J400" t="n">
        <v>3053</v>
      </c>
      <c r="K400" t="n">
        <v>5420</v>
      </c>
      <c r="L400" t="n">
        <v>111</v>
      </c>
      <c r="M400" t="n">
        <v>0</v>
      </c>
      <c r="N400" t="n">
        <v>0</v>
      </c>
      <c r="O400" s="6" t="n">
        <v>12656</v>
      </c>
      <c r="P400">
        <f>SUM(C400:H400)</f>
        <v/>
      </c>
      <c r="Q400">
        <f>I400</f>
        <v/>
      </c>
      <c r="R400">
        <f>J400</f>
        <v/>
      </c>
      <c r="S400">
        <f>SUM(K400:N400)</f>
        <v/>
      </c>
      <c r="T400">
        <f>SUM(P400:S400)</f>
        <v/>
      </c>
      <c r="U400" s="3">
        <f>IF(T400=0,"",P400/T400)</f>
        <v/>
      </c>
      <c r="V400" s="3">
        <f>IF(T400=0,"",Q400/T400)</f>
        <v/>
      </c>
      <c r="W400" s="3">
        <f>IF(T400=0,"",R400/T400)</f>
        <v/>
      </c>
      <c r="X400" s="3">
        <f>IF(T400=0,"",S400/T400)</f>
        <v/>
      </c>
      <c r="Y400" s="4">
        <f>IF(T400=0,"",U400*Pesos!$B$2+V400*Pesos!$B$3+W400*Pesos!$B$4+X400*Pesos!$B$5)</f>
        <v/>
      </c>
    </row>
    <row r="401">
      <c r="A401" s="2" t="n">
        <v>401</v>
      </c>
      <c r="B401" t="n">
        <v>9</v>
      </c>
      <c r="C401" t="n">
        <v>712</v>
      </c>
      <c r="D401" t="n">
        <v>543</v>
      </c>
      <c r="E401" t="n">
        <v>489</v>
      </c>
      <c r="F401" t="n">
        <v>526</v>
      </c>
      <c r="G401" t="n">
        <v>289</v>
      </c>
      <c r="H401" t="n">
        <v>293</v>
      </c>
      <c r="I401" t="n">
        <v>1083</v>
      </c>
      <c r="J401" t="n">
        <v>2077</v>
      </c>
      <c r="K401" t="n">
        <v>6001</v>
      </c>
      <c r="L401" t="n">
        <v>480</v>
      </c>
      <c r="M401" t="n">
        <v>0</v>
      </c>
      <c r="N401" t="n">
        <v>0</v>
      </c>
      <c r="O401" s="6" t="n">
        <v>12493</v>
      </c>
      <c r="P401">
        <f>SUM(C401:H401)</f>
        <v/>
      </c>
      <c r="Q401">
        <f>I401</f>
        <v/>
      </c>
      <c r="R401">
        <f>J401</f>
        <v/>
      </c>
      <c r="S401">
        <f>SUM(K401:N401)</f>
        <v/>
      </c>
      <c r="T401">
        <f>SUM(P401:S401)</f>
        <v/>
      </c>
      <c r="U401" s="3">
        <f>IF(T401=0,"",P401/T401)</f>
        <v/>
      </c>
      <c r="V401" s="3">
        <f>IF(T401=0,"",Q401/T401)</f>
        <v/>
      </c>
      <c r="W401" s="3">
        <f>IF(T401=0,"",R401/T401)</f>
        <v/>
      </c>
      <c r="X401" s="3">
        <f>IF(T401=0,"",S401/T401)</f>
        <v/>
      </c>
      <c r="Y401" s="4">
        <f>IF(T401=0,"",U401*Pesos!$B$2+V401*Pesos!$B$3+W401*Pesos!$B$4+X401*Pesos!$B$5)</f>
        <v/>
      </c>
    </row>
    <row r="402">
      <c r="A402" s="2" t="n">
        <v>402</v>
      </c>
      <c r="B402" t="n">
        <v>12</v>
      </c>
      <c r="C402" t="n">
        <v>590</v>
      </c>
      <c r="D402" t="n">
        <v>563</v>
      </c>
      <c r="E402" t="n">
        <v>569</v>
      </c>
      <c r="F402" t="n">
        <v>519</v>
      </c>
      <c r="G402" t="n">
        <v>378</v>
      </c>
      <c r="H402" t="n">
        <v>347</v>
      </c>
      <c r="I402" t="n">
        <v>1708</v>
      </c>
      <c r="J402" t="n">
        <v>4343</v>
      </c>
      <c r="K402" t="n">
        <v>7416</v>
      </c>
      <c r="L402" t="n">
        <v>544</v>
      </c>
      <c r="M402" t="n">
        <v>0</v>
      </c>
      <c r="N402" t="n">
        <v>0</v>
      </c>
      <c r="O402" s="6" t="n">
        <v>16977</v>
      </c>
      <c r="P402">
        <f>SUM(C402:H402)</f>
        <v/>
      </c>
      <c r="Q402">
        <f>I402</f>
        <v/>
      </c>
      <c r="R402">
        <f>J402</f>
        <v/>
      </c>
      <c r="S402">
        <f>SUM(K402:N402)</f>
        <v/>
      </c>
      <c r="T402">
        <f>SUM(P402:S402)</f>
        <v/>
      </c>
      <c r="U402" s="3">
        <f>IF(T402=0,"",P402/T402)</f>
        <v/>
      </c>
      <c r="V402" s="3">
        <f>IF(T402=0,"",Q402/T402)</f>
        <v/>
      </c>
      <c r="W402" s="3">
        <f>IF(T402=0,"",R402/T402)</f>
        <v/>
      </c>
      <c r="X402" s="3">
        <f>IF(T402=0,"",S402/T402)</f>
        <v/>
      </c>
      <c r="Y402" s="4">
        <f>IF(T402=0,"",U402*Pesos!$B$2+V402*Pesos!$B$3+W402*Pesos!$B$4+X402*Pesos!$B$5)</f>
        <v/>
      </c>
    </row>
    <row r="403">
      <c r="A403" s="2" t="n">
        <v>403</v>
      </c>
      <c r="B403" t="n">
        <v>8</v>
      </c>
      <c r="C403" t="n">
        <v>664</v>
      </c>
      <c r="D403" t="n">
        <v>654</v>
      </c>
      <c r="E403" t="n">
        <v>1043</v>
      </c>
      <c r="F403" t="n">
        <v>709</v>
      </c>
      <c r="G403" t="n">
        <v>634</v>
      </c>
      <c r="H403" t="n">
        <v>527</v>
      </c>
      <c r="I403" t="n">
        <v>2026</v>
      </c>
      <c r="J403" t="n">
        <v>5304</v>
      </c>
      <c r="K403" t="n">
        <v>3788</v>
      </c>
      <c r="L403" t="n">
        <v>0</v>
      </c>
      <c r="M403" t="n">
        <v>0</v>
      </c>
      <c r="N403" t="n">
        <v>0</v>
      </c>
      <c r="O403" s="6" t="n">
        <v>15349</v>
      </c>
      <c r="P403">
        <f>SUM(C403:H403)</f>
        <v/>
      </c>
      <c r="Q403">
        <f>I403</f>
        <v/>
      </c>
      <c r="R403">
        <f>J403</f>
        <v/>
      </c>
      <c r="S403">
        <f>SUM(K403:N403)</f>
        <v/>
      </c>
      <c r="T403">
        <f>SUM(P403:S403)</f>
        <v/>
      </c>
      <c r="U403" s="3">
        <f>IF(T403=0,"",P403/T403)</f>
        <v/>
      </c>
      <c r="V403" s="3">
        <f>IF(T403=0,"",Q403/T403)</f>
        <v/>
      </c>
      <c r="W403" s="3">
        <f>IF(T403=0,"",R403/T403)</f>
        <v/>
      </c>
      <c r="X403" s="3">
        <f>IF(T403=0,"",S403/T403)</f>
        <v/>
      </c>
      <c r="Y403" s="4">
        <f>IF(T403=0,"",U403*Pesos!$B$2+V403*Pesos!$B$3+W403*Pesos!$B$4+X403*Pesos!$B$5)</f>
        <v/>
      </c>
    </row>
    <row r="404">
      <c r="A404" s="2" t="n">
        <v>404</v>
      </c>
      <c r="B404" t="n">
        <v>8</v>
      </c>
      <c r="C404" t="n">
        <v>510</v>
      </c>
      <c r="D404" t="n">
        <v>515</v>
      </c>
      <c r="E404" t="n">
        <v>513</v>
      </c>
      <c r="F404" t="n">
        <v>507</v>
      </c>
      <c r="G404" t="n">
        <v>386</v>
      </c>
      <c r="H404" t="n">
        <v>372</v>
      </c>
      <c r="I404" t="n">
        <v>1422</v>
      </c>
      <c r="J404" t="n">
        <v>3000</v>
      </c>
      <c r="K404" t="n">
        <v>6636</v>
      </c>
      <c r="L404" t="n">
        <v>172</v>
      </c>
      <c r="M404" t="n">
        <v>2</v>
      </c>
      <c r="N404" t="n">
        <v>0</v>
      </c>
      <c r="O404" s="6" t="n">
        <v>14035</v>
      </c>
      <c r="P404">
        <f>SUM(C404:H404)</f>
        <v/>
      </c>
      <c r="Q404">
        <f>I404</f>
        <v/>
      </c>
      <c r="R404">
        <f>J404</f>
        <v/>
      </c>
      <c r="S404">
        <f>SUM(K404:N404)</f>
        <v/>
      </c>
      <c r="T404">
        <f>SUM(P404:S404)</f>
        <v/>
      </c>
      <c r="U404" s="3">
        <f>IF(T404=0,"",P404/T404)</f>
        <v/>
      </c>
      <c r="V404" s="3">
        <f>IF(T404=0,"",Q404/T404)</f>
        <v/>
      </c>
      <c r="W404" s="3">
        <f>IF(T404=0,"",R404/T404)</f>
        <v/>
      </c>
      <c r="X404" s="3">
        <f>IF(T404=0,"",S404/T404)</f>
        <v/>
      </c>
      <c r="Y404" s="4">
        <f>IF(T404=0,"",U404*Pesos!$B$2+V404*Pesos!$B$3+W404*Pesos!$B$4+X404*Pesos!$B$5)</f>
        <v/>
      </c>
    </row>
    <row r="405">
      <c r="A405" s="2" t="n">
        <v>405</v>
      </c>
      <c r="B405" t="n">
        <v>9</v>
      </c>
      <c r="C405" t="n">
        <v>573</v>
      </c>
      <c r="D405" t="n">
        <v>895</v>
      </c>
      <c r="E405" t="n">
        <v>974</v>
      </c>
      <c r="F405" t="n">
        <v>1511</v>
      </c>
      <c r="G405" t="n">
        <v>412</v>
      </c>
      <c r="H405" t="n">
        <v>348</v>
      </c>
      <c r="I405" t="n">
        <v>1515</v>
      </c>
      <c r="J405" t="n">
        <v>5173</v>
      </c>
      <c r="K405" t="n">
        <v>5095</v>
      </c>
      <c r="L405" t="n">
        <v>0</v>
      </c>
      <c r="M405" t="n">
        <v>0</v>
      </c>
      <c r="N405" t="n">
        <v>0</v>
      </c>
      <c r="O405" s="6" t="n">
        <v>16496</v>
      </c>
      <c r="P405">
        <f>SUM(C405:H405)</f>
        <v/>
      </c>
      <c r="Q405">
        <f>I405</f>
        <v/>
      </c>
      <c r="R405">
        <f>J405</f>
        <v/>
      </c>
      <c r="S405">
        <f>SUM(K405:N405)</f>
        <v/>
      </c>
      <c r="T405">
        <f>SUM(P405:S405)</f>
        <v/>
      </c>
      <c r="U405" s="3">
        <f>IF(T405=0,"",P405/T405)</f>
        <v/>
      </c>
      <c r="V405" s="3">
        <f>IF(T405=0,"",Q405/T405)</f>
        <v/>
      </c>
      <c r="W405" s="3">
        <f>IF(T405=0,"",R405/T405)</f>
        <v/>
      </c>
      <c r="X405" s="3">
        <f>IF(T405=0,"",S405/T405)</f>
        <v/>
      </c>
      <c r="Y405" s="4">
        <f>IF(T405=0,"",U405*Pesos!$B$2+V405*Pesos!$B$3+W405*Pesos!$B$4+X405*Pesos!$B$5)</f>
        <v/>
      </c>
    </row>
    <row r="406">
      <c r="A406" s="2" t="n">
        <v>406</v>
      </c>
      <c r="B406" t="n">
        <v>9</v>
      </c>
      <c r="C406" t="n">
        <v>805</v>
      </c>
      <c r="D406" t="n">
        <v>962</v>
      </c>
      <c r="E406" t="n">
        <v>1088</v>
      </c>
      <c r="F406" t="n">
        <v>497</v>
      </c>
      <c r="G406" t="n">
        <v>469</v>
      </c>
      <c r="H406" t="n">
        <v>575</v>
      </c>
      <c r="I406" t="n">
        <v>2343</v>
      </c>
      <c r="J406" t="n">
        <v>4112</v>
      </c>
      <c r="K406" t="n">
        <v>4683</v>
      </c>
      <c r="L406" t="n">
        <v>18</v>
      </c>
      <c r="M406" t="n">
        <v>0</v>
      </c>
      <c r="N406" t="n">
        <v>0</v>
      </c>
      <c r="O406" s="6" t="n">
        <v>15552</v>
      </c>
      <c r="P406">
        <f>SUM(C406:H406)</f>
        <v/>
      </c>
      <c r="Q406">
        <f>I406</f>
        <v/>
      </c>
      <c r="R406">
        <f>J406</f>
        <v/>
      </c>
      <c r="S406">
        <f>SUM(K406:N406)</f>
        <v/>
      </c>
      <c r="T406">
        <f>SUM(P406:S406)</f>
        <v/>
      </c>
      <c r="U406" s="3">
        <f>IF(T406=0,"",P406/T406)</f>
        <v/>
      </c>
      <c r="V406" s="3">
        <f>IF(T406=0,"",Q406/T406)</f>
        <v/>
      </c>
      <c r="W406" s="3">
        <f>IF(T406=0,"",R406/T406)</f>
        <v/>
      </c>
      <c r="X406" s="3">
        <f>IF(T406=0,"",S406/T406)</f>
        <v/>
      </c>
      <c r="Y406" s="4">
        <f>IF(T406=0,"",U406*Pesos!$B$2+V406*Pesos!$B$3+W406*Pesos!$B$4+X406*Pesos!$B$5)</f>
        <v/>
      </c>
    </row>
    <row r="407">
      <c r="A407" s="2" t="n">
        <v>407</v>
      </c>
      <c r="B407" t="n">
        <v>6</v>
      </c>
      <c r="C407" t="n">
        <v>1087</v>
      </c>
      <c r="D407" t="n">
        <v>1060</v>
      </c>
      <c r="E407" t="n">
        <v>1506</v>
      </c>
      <c r="F407" t="n">
        <v>1205</v>
      </c>
      <c r="G407" t="n">
        <v>943</v>
      </c>
      <c r="H407" t="n">
        <v>706</v>
      </c>
      <c r="I407" t="n">
        <v>2874</v>
      </c>
      <c r="J407" t="n">
        <v>4414</v>
      </c>
      <c r="K407" t="n">
        <v>573</v>
      </c>
      <c r="L407" t="n">
        <v>14</v>
      </c>
      <c r="M407" t="n">
        <v>0</v>
      </c>
      <c r="N407" t="n">
        <v>0</v>
      </c>
      <c r="O407" s="6" t="n">
        <v>14382</v>
      </c>
      <c r="P407">
        <f>SUM(C407:H407)</f>
        <v/>
      </c>
      <c r="Q407">
        <f>I407</f>
        <v/>
      </c>
      <c r="R407">
        <f>J407</f>
        <v/>
      </c>
      <c r="S407">
        <f>SUM(K407:N407)</f>
        <v/>
      </c>
      <c r="T407">
        <f>SUM(P407:S407)</f>
        <v/>
      </c>
      <c r="U407" s="3">
        <f>IF(T407=0,"",P407/T407)</f>
        <v/>
      </c>
      <c r="V407" s="3">
        <f>IF(T407=0,"",Q407/T407)</f>
        <v/>
      </c>
      <c r="W407" s="3">
        <f>IF(T407=0,"",R407/T407)</f>
        <v/>
      </c>
      <c r="X407" s="3">
        <f>IF(T407=0,"",S407/T407)</f>
        <v/>
      </c>
      <c r="Y407" s="4">
        <f>IF(T407=0,"",U407*Pesos!$B$2+V407*Pesos!$B$3+W407*Pesos!$B$4+X407*Pesos!$B$5)</f>
        <v/>
      </c>
    </row>
    <row r="408">
      <c r="A408" s="2" t="n">
        <v>408</v>
      </c>
      <c r="B408" t="n">
        <v>8</v>
      </c>
      <c r="C408" t="n">
        <v>1517</v>
      </c>
      <c r="D408" t="n">
        <v>1178</v>
      </c>
      <c r="E408" t="n">
        <v>1471</v>
      </c>
      <c r="F408" t="n">
        <v>1041</v>
      </c>
      <c r="G408" t="n">
        <v>1036</v>
      </c>
      <c r="H408" t="n">
        <v>812</v>
      </c>
      <c r="I408" t="n">
        <v>2156</v>
      </c>
      <c r="J408" t="n">
        <v>2349</v>
      </c>
      <c r="K408" t="n">
        <v>2020</v>
      </c>
      <c r="L408" t="n">
        <v>409</v>
      </c>
      <c r="M408" t="n">
        <v>229</v>
      </c>
      <c r="N408" t="n">
        <v>98</v>
      </c>
      <c r="O408" s="6" t="n">
        <v>14316</v>
      </c>
      <c r="P408">
        <f>SUM(C408:H408)</f>
        <v/>
      </c>
      <c r="Q408">
        <f>I408</f>
        <v/>
      </c>
      <c r="R408">
        <f>J408</f>
        <v/>
      </c>
      <c r="S408">
        <f>SUM(K408:N408)</f>
        <v/>
      </c>
      <c r="T408">
        <f>SUM(P408:S408)</f>
        <v/>
      </c>
      <c r="U408" s="3">
        <f>IF(T408=0,"",P408/T408)</f>
        <v/>
      </c>
      <c r="V408" s="3">
        <f>IF(T408=0,"",Q408/T408)</f>
        <v/>
      </c>
      <c r="W408" s="3">
        <f>IF(T408=0,"",R408/T408)</f>
        <v/>
      </c>
      <c r="X408" s="3">
        <f>IF(T408=0,"",S408/T408)</f>
        <v/>
      </c>
      <c r="Y408" s="4">
        <f>IF(T408=0,"",U408*Pesos!$B$2+V408*Pesos!$B$3+W408*Pesos!$B$4+X408*Pesos!$B$5)</f>
        <v/>
      </c>
    </row>
    <row r="409">
      <c r="A409" s="2" t="n">
        <v>409</v>
      </c>
      <c r="B409" t="n">
        <v>8</v>
      </c>
      <c r="C409" t="n">
        <v>944</v>
      </c>
      <c r="D409" t="n">
        <v>675</v>
      </c>
      <c r="E409" t="n">
        <v>641</v>
      </c>
      <c r="F409" t="n">
        <v>572</v>
      </c>
      <c r="G409" t="n">
        <v>775</v>
      </c>
      <c r="H409" t="n">
        <v>770</v>
      </c>
      <c r="I409" t="n">
        <v>1440</v>
      </c>
      <c r="J409" t="n">
        <v>2537</v>
      </c>
      <c r="K409" t="n">
        <v>4054</v>
      </c>
      <c r="L409" t="n">
        <v>462</v>
      </c>
      <c r="M409" t="n">
        <v>61</v>
      </c>
      <c r="N409" t="n">
        <v>2</v>
      </c>
      <c r="O409" s="6" t="n">
        <v>12933</v>
      </c>
      <c r="P409">
        <f>SUM(C409:H409)</f>
        <v/>
      </c>
      <c r="Q409">
        <f>I409</f>
        <v/>
      </c>
      <c r="R409">
        <f>J409</f>
        <v/>
      </c>
      <c r="S409">
        <f>SUM(K409:N409)</f>
        <v/>
      </c>
      <c r="T409">
        <f>SUM(P409:S409)</f>
        <v/>
      </c>
      <c r="U409" s="3">
        <f>IF(T409=0,"",P409/T409)</f>
        <v/>
      </c>
      <c r="V409" s="3">
        <f>IF(T409=0,"",Q409/T409)</f>
        <v/>
      </c>
      <c r="W409" s="3">
        <f>IF(T409=0,"",R409/T409)</f>
        <v/>
      </c>
      <c r="X409" s="3">
        <f>IF(T409=0,"",S409/T409)</f>
        <v/>
      </c>
      <c r="Y409" s="4">
        <f>IF(T409=0,"",U409*Pesos!$B$2+V409*Pesos!$B$3+W409*Pesos!$B$4+X409*Pesos!$B$5)</f>
        <v/>
      </c>
    </row>
    <row r="410">
      <c r="A410" s="2" t="n">
        <v>410</v>
      </c>
      <c r="B410" t="n">
        <v>9</v>
      </c>
      <c r="C410" t="n">
        <v>1075</v>
      </c>
      <c r="D410" t="n">
        <v>844</v>
      </c>
      <c r="E410" t="n">
        <v>951</v>
      </c>
      <c r="F410" t="n">
        <v>1035</v>
      </c>
      <c r="G410" t="n">
        <v>641</v>
      </c>
      <c r="H410" t="n">
        <v>515</v>
      </c>
      <c r="I410" t="n">
        <v>2227</v>
      </c>
      <c r="J410" t="n">
        <v>4303</v>
      </c>
      <c r="K410" t="n">
        <v>5962</v>
      </c>
      <c r="L410" t="n">
        <v>199</v>
      </c>
      <c r="M410" t="n">
        <v>2</v>
      </c>
      <c r="N410" t="n">
        <v>2</v>
      </c>
      <c r="O410" s="6" t="n">
        <v>17756</v>
      </c>
      <c r="P410">
        <f>SUM(C410:H410)</f>
        <v/>
      </c>
      <c r="Q410">
        <f>I410</f>
        <v/>
      </c>
      <c r="R410">
        <f>J410</f>
        <v/>
      </c>
      <c r="S410">
        <f>SUM(K410:N410)</f>
        <v/>
      </c>
      <c r="T410">
        <f>SUM(P410:S410)</f>
        <v/>
      </c>
      <c r="U410" s="3">
        <f>IF(T410=0,"",P410/T410)</f>
        <v/>
      </c>
      <c r="V410" s="3">
        <f>IF(T410=0,"",Q410/T410)</f>
        <v/>
      </c>
      <c r="W410" s="3">
        <f>IF(T410=0,"",R410/T410)</f>
        <v/>
      </c>
      <c r="X410" s="3">
        <f>IF(T410=0,"",S410/T410)</f>
        <v/>
      </c>
      <c r="Y410" s="4">
        <f>IF(T410=0,"",U410*Pesos!$B$2+V410*Pesos!$B$3+W410*Pesos!$B$4+X410*Pesos!$B$5)</f>
        <v/>
      </c>
    </row>
    <row r="411">
      <c r="A411" s="2" t="n">
        <v>411</v>
      </c>
      <c r="B411" t="n">
        <v>7</v>
      </c>
      <c r="C411" t="n">
        <v>2046</v>
      </c>
      <c r="D411" t="n">
        <v>1072</v>
      </c>
      <c r="E411" t="n">
        <v>1571</v>
      </c>
      <c r="F411" t="n">
        <v>654</v>
      </c>
      <c r="G411" t="n">
        <v>478</v>
      </c>
      <c r="H411" t="n">
        <v>474</v>
      </c>
      <c r="I411" t="n">
        <v>1648</v>
      </c>
      <c r="J411" t="n">
        <v>2901</v>
      </c>
      <c r="K411" t="n">
        <v>5192</v>
      </c>
      <c r="L411" t="n">
        <v>164</v>
      </c>
      <c r="M411" t="n">
        <v>30</v>
      </c>
      <c r="N411" t="n">
        <v>0</v>
      </c>
      <c r="O411" s="6" t="n">
        <v>16230</v>
      </c>
      <c r="P411">
        <f>SUM(C411:H411)</f>
        <v/>
      </c>
      <c r="Q411">
        <f>I411</f>
        <v/>
      </c>
      <c r="R411">
        <f>J411</f>
        <v/>
      </c>
      <c r="S411">
        <f>SUM(K411:N411)</f>
        <v/>
      </c>
      <c r="T411">
        <f>SUM(P411:S411)</f>
        <v/>
      </c>
      <c r="U411" s="3">
        <f>IF(T411=0,"",P411/T411)</f>
        <v/>
      </c>
      <c r="V411" s="3">
        <f>IF(T411=0,"",Q411/T411)</f>
        <v/>
      </c>
      <c r="W411" s="3">
        <f>IF(T411=0,"",R411/T411)</f>
        <v/>
      </c>
      <c r="X411" s="3">
        <f>IF(T411=0,"",S411/T411)</f>
        <v/>
      </c>
      <c r="Y411" s="4">
        <f>IF(T411=0,"",U411*Pesos!$B$2+V411*Pesos!$B$3+W411*Pesos!$B$4+X411*Pesos!$B$5)</f>
        <v/>
      </c>
    </row>
    <row r="412">
      <c r="A412" s="2" t="n">
        <v>412</v>
      </c>
      <c r="B412" t="n">
        <v>8</v>
      </c>
      <c r="C412" t="n">
        <v>888</v>
      </c>
      <c r="D412" t="n">
        <v>750</v>
      </c>
      <c r="E412" t="n">
        <v>787</v>
      </c>
      <c r="F412" t="n">
        <v>638</v>
      </c>
      <c r="G412" t="n">
        <v>550</v>
      </c>
      <c r="H412" t="n">
        <v>387</v>
      </c>
      <c r="I412" t="n">
        <v>1688</v>
      </c>
      <c r="J412" t="n">
        <v>2796</v>
      </c>
      <c r="K412" t="n">
        <v>4446</v>
      </c>
      <c r="L412" t="n">
        <v>533</v>
      </c>
      <c r="M412" t="n">
        <v>0</v>
      </c>
      <c r="N412" t="n">
        <v>0</v>
      </c>
      <c r="O412" s="6" t="n">
        <v>13463</v>
      </c>
      <c r="P412">
        <f>SUM(C412:H412)</f>
        <v/>
      </c>
      <c r="Q412">
        <f>I412</f>
        <v/>
      </c>
      <c r="R412">
        <f>J412</f>
        <v/>
      </c>
      <c r="S412">
        <f>SUM(K412:N412)</f>
        <v/>
      </c>
      <c r="T412">
        <f>SUM(P412:S412)</f>
        <v/>
      </c>
      <c r="U412" s="3">
        <f>IF(T412=0,"",P412/T412)</f>
        <v/>
      </c>
      <c r="V412" s="3">
        <f>IF(T412=0,"",Q412/T412)</f>
        <v/>
      </c>
      <c r="W412" s="3">
        <f>IF(T412=0,"",R412/T412)</f>
        <v/>
      </c>
      <c r="X412" s="3">
        <f>IF(T412=0,"",S412/T412)</f>
        <v/>
      </c>
      <c r="Y412" s="4">
        <f>IF(T412=0,"",U412*Pesos!$B$2+V412*Pesos!$B$3+W412*Pesos!$B$4+X412*Pesos!$B$5)</f>
        <v/>
      </c>
    </row>
    <row r="413">
      <c r="A413" s="2" t="n">
        <v>413</v>
      </c>
      <c r="B413" t="n">
        <v>3</v>
      </c>
      <c r="C413" t="n">
        <v>337</v>
      </c>
      <c r="D413" t="n">
        <v>336</v>
      </c>
      <c r="E413" t="n">
        <v>351</v>
      </c>
      <c r="F413" t="n">
        <v>298</v>
      </c>
      <c r="G413" t="n">
        <v>358</v>
      </c>
      <c r="H413" t="n">
        <v>335</v>
      </c>
      <c r="I413" t="n">
        <v>766</v>
      </c>
      <c r="J413" t="n">
        <v>1761</v>
      </c>
      <c r="K413" t="n">
        <v>1232</v>
      </c>
      <c r="L413" t="n">
        <v>0</v>
      </c>
      <c r="M413" t="n">
        <v>0</v>
      </c>
      <c r="N413" t="n">
        <v>0</v>
      </c>
      <c r="O413" s="6" t="n">
        <v>5774</v>
      </c>
      <c r="P413">
        <f>SUM(C413:H413)</f>
        <v/>
      </c>
      <c r="Q413">
        <f>I413</f>
        <v/>
      </c>
      <c r="R413">
        <f>J413</f>
        <v/>
      </c>
      <c r="S413">
        <f>SUM(K413:N413)</f>
        <v/>
      </c>
      <c r="T413">
        <f>SUM(P413:S413)</f>
        <v/>
      </c>
      <c r="U413" s="3">
        <f>IF(T413=0,"",P413/T413)</f>
        <v/>
      </c>
      <c r="V413" s="3">
        <f>IF(T413=0,"",Q413/T413)</f>
        <v/>
      </c>
      <c r="W413" s="3">
        <f>IF(T413=0,"",R413/T413)</f>
        <v/>
      </c>
      <c r="X413" s="3">
        <f>IF(T413=0,"",S413/T413)</f>
        <v/>
      </c>
      <c r="Y413" s="4">
        <f>IF(T413=0,"",U413*Pesos!$B$2+V413*Pesos!$B$3+W413*Pesos!$B$4+X413*Pesos!$B$5)</f>
        <v/>
      </c>
    </row>
    <row r="414">
      <c r="A414" s="2" t="n">
        <v>414</v>
      </c>
      <c r="B414" t="n">
        <v>3</v>
      </c>
      <c r="C414" t="n">
        <v>789</v>
      </c>
      <c r="D414" t="n">
        <v>1038</v>
      </c>
      <c r="E414" t="n">
        <v>1272</v>
      </c>
      <c r="F414" t="n">
        <v>1389</v>
      </c>
      <c r="G414" t="n">
        <v>712</v>
      </c>
      <c r="H414" t="n">
        <v>121</v>
      </c>
      <c r="I414" t="n">
        <v>451</v>
      </c>
      <c r="J414" t="n">
        <v>774</v>
      </c>
      <c r="K414" t="n">
        <v>943</v>
      </c>
      <c r="L414" t="n">
        <v>0</v>
      </c>
      <c r="M414" t="n">
        <v>0</v>
      </c>
      <c r="N414" t="n">
        <v>0</v>
      </c>
      <c r="O414" s="6" t="n">
        <v>7489</v>
      </c>
      <c r="P414">
        <f>SUM(C414:H414)</f>
        <v/>
      </c>
      <c r="Q414">
        <f>I414</f>
        <v/>
      </c>
      <c r="R414">
        <f>J414</f>
        <v/>
      </c>
      <c r="S414">
        <f>SUM(K414:N414)</f>
        <v/>
      </c>
      <c r="T414">
        <f>SUM(P414:S414)</f>
        <v/>
      </c>
      <c r="U414" s="3">
        <f>IF(T414=0,"",P414/T414)</f>
        <v/>
      </c>
      <c r="V414" s="3">
        <f>IF(T414=0,"",Q414/T414)</f>
        <v/>
      </c>
      <c r="W414" s="3">
        <f>IF(T414=0,"",R414/T414)</f>
        <v/>
      </c>
      <c r="X414" s="3">
        <f>IF(T414=0,"",S414/T414)</f>
        <v/>
      </c>
      <c r="Y414" s="4">
        <f>IF(T414=0,"",U414*Pesos!$B$2+V414*Pesos!$B$3+W414*Pesos!$B$4+X414*Pesos!$B$5)</f>
        <v/>
      </c>
    </row>
    <row r="415">
      <c r="A415" s="2" t="n">
        <v>415</v>
      </c>
      <c r="B415" t="n">
        <v>2</v>
      </c>
      <c r="C415" t="n">
        <v>336</v>
      </c>
      <c r="D415" t="n">
        <v>258</v>
      </c>
      <c r="E415" t="n">
        <v>289</v>
      </c>
      <c r="F415" t="n">
        <v>222</v>
      </c>
      <c r="G415" t="n">
        <v>225</v>
      </c>
      <c r="H415" t="n">
        <v>149</v>
      </c>
      <c r="I415" t="n">
        <v>1080</v>
      </c>
      <c r="J415" t="n">
        <v>1790</v>
      </c>
      <c r="K415" t="n">
        <v>1117</v>
      </c>
      <c r="L415" t="n">
        <v>11</v>
      </c>
      <c r="M415" t="n">
        <v>0</v>
      </c>
      <c r="N415" t="n">
        <v>0</v>
      </c>
      <c r="O415" s="6" t="n">
        <v>5477</v>
      </c>
      <c r="P415">
        <f>SUM(C415:H415)</f>
        <v/>
      </c>
      <c r="Q415">
        <f>I415</f>
        <v/>
      </c>
      <c r="R415">
        <f>J415</f>
        <v/>
      </c>
      <c r="S415">
        <f>SUM(K415:N415)</f>
        <v/>
      </c>
      <c r="T415">
        <f>SUM(P415:S415)</f>
        <v/>
      </c>
      <c r="U415" s="3">
        <f>IF(T415=0,"",P415/T415)</f>
        <v/>
      </c>
      <c r="V415" s="3">
        <f>IF(T415=0,"",Q415/T415)</f>
        <v/>
      </c>
      <c r="W415" s="3">
        <f>IF(T415=0,"",R415/T415)</f>
        <v/>
      </c>
      <c r="X415" s="3">
        <f>IF(T415=0,"",S415/T415)</f>
        <v/>
      </c>
      <c r="Y415" s="4">
        <f>IF(T415=0,"",U415*Pesos!$B$2+V415*Pesos!$B$3+W415*Pesos!$B$4+X415*Pesos!$B$5)</f>
        <v/>
      </c>
    </row>
    <row r="416">
      <c r="A416" s="2" t="n">
        <v>416</v>
      </c>
      <c r="B416" t="n">
        <v>8</v>
      </c>
      <c r="C416" t="n">
        <v>779</v>
      </c>
      <c r="D416" t="n">
        <v>709</v>
      </c>
      <c r="E416" t="n">
        <v>754</v>
      </c>
      <c r="F416" t="n">
        <v>660</v>
      </c>
      <c r="G416" t="n">
        <v>500</v>
      </c>
      <c r="H416" t="n">
        <v>543</v>
      </c>
      <c r="I416" t="n">
        <v>1892</v>
      </c>
      <c r="J416" t="n">
        <v>2627</v>
      </c>
      <c r="K416" t="n">
        <v>2106</v>
      </c>
      <c r="L416" t="n">
        <v>760</v>
      </c>
      <c r="M416" t="n">
        <v>439</v>
      </c>
      <c r="N416" t="n">
        <v>143</v>
      </c>
      <c r="O416" s="6" t="n">
        <v>11912</v>
      </c>
      <c r="P416">
        <f>SUM(C416:H416)</f>
        <v/>
      </c>
      <c r="Q416">
        <f>I416</f>
        <v/>
      </c>
      <c r="R416">
        <f>J416</f>
        <v/>
      </c>
      <c r="S416">
        <f>SUM(K416:N416)</f>
        <v/>
      </c>
      <c r="T416">
        <f>SUM(P416:S416)</f>
        <v/>
      </c>
      <c r="U416" s="3">
        <f>IF(T416=0,"",P416/T416)</f>
        <v/>
      </c>
      <c r="V416" s="3">
        <f>IF(T416=0,"",Q416/T416)</f>
        <v/>
      </c>
      <c r="W416" s="3">
        <f>IF(T416=0,"",R416/T416)</f>
        <v/>
      </c>
      <c r="X416" s="3">
        <f>IF(T416=0,"",S416/T416)</f>
        <v/>
      </c>
      <c r="Y416" s="4">
        <f>IF(T416=0,"",U416*Pesos!$B$2+V416*Pesos!$B$3+W416*Pesos!$B$4+X416*Pesos!$B$5)</f>
        <v/>
      </c>
    </row>
    <row r="417">
      <c r="A417" s="2" t="n">
        <v>417</v>
      </c>
      <c r="B417" t="n">
        <v>12</v>
      </c>
      <c r="C417" t="n">
        <v>1523</v>
      </c>
      <c r="D417" t="n">
        <v>1245</v>
      </c>
      <c r="E417" t="n">
        <v>1371</v>
      </c>
      <c r="F417" t="n">
        <v>1147</v>
      </c>
      <c r="G417" t="n">
        <v>1044</v>
      </c>
      <c r="H417" t="n">
        <v>1177</v>
      </c>
      <c r="I417" t="n">
        <v>3436</v>
      </c>
      <c r="J417" t="n">
        <v>4238</v>
      </c>
      <c r="K417" t="n">
        <v>4019</v>
      </c>
      <c r="L417" t="n">
        <v>1092</v>
      </c>
      <c r="M417" t="n">
        <v>92</v>
      </c>
      <c r="N417" t="n">
        <v>23</v>
      </c>
      <c r="O417" s="6" t="n">
        <v>20407</v>
      </c>
      <c r="P417">
        <f>SUM(C417:H417)</f>
        <v/>
      </c>
      <c r="Q417">
        <f>I417</f>
        <v/>
      </c>
      <c r="R417">
        <f>J417</f>
        <v/>
      </c>
      <c r="S417">
        <f>SUM(K417:N417)</f>
        <v/>
      </c>
      <c r="T417">
        <f>SUM(P417:S417)</f>
        <v/>
      </c>
      <c r="U417" s="3">
        <f>IF(T417=0,"",P417/T417)</f>
        <v/>
      </c>
      <c r="V417" s="3">
        <f>IF(T417=0,"",Q417/T417)</f>
        <v/>
      </c>
      <c r="W417" s="3">
        <f>IF(T417=0,"",R417/T417)</f>
        <v/>
      </c>
      <c r="X417" s="3">
        <f>IF(T417=0,"",S417/T417)</f>
        <v/>
      </c>
      <c r="Y417" s="4">
        <f>IF(T417=0,"",U417*Pesos!$B$2+V417*Pesos!$B$3+W417*Pesos!$B$4+X417*Pesos!$B$5)</f>
        <v/>
      </c>
    </row>
    <row r="418">
      <c r="A418" s="2" t="n">
        <v>418</v>
      </c>
      <c r="B418" t="n">
        <v>8</v>
      </c>
      <c r="C418" t="n">
        <v>689</v>
      </c>
      <c r="D418" t="n">
        <v>1054</v>
      </c>
      <c r="E418" t="n">
        <v>818</v>
      </c>
      <c r="F418" t="n">
        <v>816</v>
      </c>
      <c r="G418" t="n">
        <v>528</v>
      </c>
      <c r="H418" t="n">
        <v>546</v>
      </c>
      <c r="I418" t="n">
        <v>1602</v>
      </c>
      <c r="J418" t="n">
        <v>3955</v>
      </c>
      <c r="K418" t="n">
        <v>1171</v>
      </c>
      <c r="L418" t="n">
        <v>109</v>
      </c>
      <c r="M418" t="n">
        <v>47</v>
      </c>
      <c r="N418" t="n">
        <v>7</v>
      </c>
      <c r="O418" s="6" t="n">
        <v>11342</v>
      </c>
      <c r="P418">
        <f>SUM(C418:H418)</f>
        <v/>
      </c>
      <c r="Q418">
        <f>I418</f>
        <v/>
      </c>
      <c r="R418">
        <f>J418</f>
        <v/>
      </c>
      <c r="S418">
        <f>SUM(K418:N418)</f>
        <v/>
      </c>
      <c r="T418">
        <f>SUM(P418:S418)</f>
        <v/>
      </c>
      <c r="U418" s="3">
        <f>IF(T418=0,"",P418/T418)</f>
        <v/>
      </c>
      <c r="V418" s="3">
        <f>IF(T418=0,"",Q418/T418)</f>
        <v/>
      </c>
      <c r="W418" s="3">
        <f>IF(T418=0,"",R418/T418)</f>
        <v/>
      </c>
      <c r="X418" s="3">
        <f>IF(T418=0,"",S418/T418)</f>
        <v/>
      </c>
      <c r="Y418" s="4">
        <f>IF(T418=0,"",U418*Pesos!$B$2+V418*Pesos!$B$3+W418*Pesos!$B$4+X418*Pesos!$B$5)</f>
        <v/>
      </c>
    </row>
    <row r="419">
      <c r="A419" s="2" t="n">
        <v>419</v>
      </c>
      <c r="B419" t="n">
        <v>8</v>
      </c>
      <c r="C419" t="n">
        <v>562</v>
      </c>
      <c r="D419" t="n">
        <v>476</v>
      </c>
      <c r="E419" t="n">
        <v>654</v>
      </c>
      <c r="F419" t="n">
        <v>521</v>
      </c>
      <c r="G419" t="n">
        <v>350</v>
      </c>
      <c r="H419" t="n">
        <v>278</v>
      </c>
      <c r="I419" t="n">
        <v>783</v>
      </c>
      <c r="J419" t="n">
        <v>2492</v>
      </c>
      <c r="K419" t="n">
        <v>2312</v>
      </c>
      <c r="L419" t="n">
        <v>912</v>
      </c>
      <c r="M419" t="n">
        <v>121</v>
      </c>
      <c r="N419" t="n">
        <v>9</v>
      </c>
      <c r="O419" s="6" t="n">
        <v>9470</v>
      </c>
      <c r="P419">
        <f>SUM(C419:H419)</f>
        <v/>
      </c>
      <c r="Q419">
        <f>I419</f>
        <v/>
      </c>
      <c r="R419">
        <f>J419</f>
        <v/>
      </c>
      <c r="S419">
        <f>SUM(K419:N419)</f>
        <v/>
      </c>
      <c r="T419">
        <f>SUM(P419:S419)</f>
        <v/>
      </c>
      <c r="U419" s="3">
        <f>IF(T419=0,"",P419/T419)</f>
        <v/>
      </c>
      <c r="V419" s="3">
        <f>IF(T419=0,"",Q419/T419)</f>
        <v/>
      </c>
      <c r="W419" s="3">
        <f>IF(T419=0,"",R419/T419)</f>
        <v/>
      </c>
      <c r="X419" s="3">
        <f>IF(T419=0,"",S419/T419)</f>
        <v/>
      </c>
      <c r="Y419" s="4">
        <f>IF(T419=0,"",U419*Pesos!$B$2+V419*Pesos!$B$3+W419*Pesos!$B$4+X419*Pesos!$B$5)</f>
        <v/>
      </c>
    </row>
    <row r="420">
      <c r="A420" s="2" t="n">
        <v>420</v>
      </c>
      <c r="B420" t="n">
        <v>9</v>
      </c>
      <c r="C420" t="n">
        <v>756</v>
      </c>
      <c r="D420" t="n">
        <v>554</v>
      </c>
      <c r="E420" t="n">
        <v>589</v>
      </c>
      <c r="F420" t="n">
        <v>508</v>
      </c>
      <c r="G420" t="n">
        <v>493</v>
      </c>
      <c r="H420" t="n">
        <v>387</v>
      </c>
      <c r="I420" t="n">
        <v>1512</v>
      </c>
      <c r="J420" t="n">
        <v>4510</v>
      </c>
      <c r="K420" t="n">
        <v>2298</v>
      </c>
      <c r="L420" t="n">
        <v>516</v>
      </c>
      <c r="M420" t="n">
        <v>128</v>
      </c>
      <c r="N420" t="n">
        <v>5</v>
      </c>
      <c r="O420" s="6" t="n">
        <v>12256</v>
      </c>
      <c r="P420">
        <f>SUM(C420:H420)</f>
        <v/>
      </c>
      <c r="Q420">
        <f>I420</f>
        <v/>
      </c>
      <c r="R420">
        <f>J420</f>
        <v/>
      </c>
      <c r="S420">
        <f>SUM(K420:N420)</f>
        <v/>
      </c>
      <c r="T420">
        <f>SUM(P420:S420)</f>
        <v/>
      </c>
      <c r="U420" s="3">
        <f>IF(T420=0,"",P420/T420)</f>
        <v/>
      </c>
      <c r="V420" s="3">
        <f>IF(T420=0,"",Q420/T420)</f>
        <v/>
      </c>
      <c r="W420" s="3">
        <f>IF(T420=0,"",R420/T420)</f>
        <v/>
      </c>
      <c r="X420" s="3">
        <f>IF(T420=0,"",S420/T420)</f>
        <v/>
      </c>
      <c r="Y420" s="4">
        <f>IF(T420=0,"",U420*Pesos!$B$2+V420*Pesos!$B$3+W420*Pesos!$B$4+X420*Pesos!$B$5)</f>
        <v/>
      </c>
    </row>
    <row r="421">
      <c r="A421" s="2" t="n">
        <v>421</v>
      </c>
      <c r="B421" t="n">
        <v>5</v>
      </c>
      <c r="C421" t="n">
        <v>621</v>
      </c>
      <c r="D421" t="n">
        <v>549</v>
      </c>
      <c r="E421" t="n">
        <v>778</v>
      </c>
      <c r="F421" t="n">
        <v>770</v>
      </c>
      <c r="G421" t="n">
        <v>528</v>
      </c>
      <c r="H421" t="n">
        <v>1084</v>
      </c>
      <c r="I421" t="n">
        <v>1790</v>
      </c>
      <c r="J421" t="n">
        <v>2621</v>
      </c>
      <c r="K421" t="n">
        <v>258</v>
      </c>
      <c r="L421" t="n">
        <v>72</v>
      </c>
      <c r="M421" t="n">
        <v>55</v>
      </c>
      <c r="N421" t="n">
        <v>2</v>
      </c>
      <c r="O421" s="6" t="n">
        <v>9128</v>
      </c>
      <c r="P421">
        <f>SUM(C421:H421)</f>
        <v/>
      </c>
      <c r="Q421">
        <f>I421</f>
        <v/>
      </c>
      <c r="R421">
        <f>J421</f>
        <v/>
      </c>
      <c r="S421">
        <f>SUM(K421:N421)</f>
        <v/>
      </c>
      <c r="T421">
        <f>SUM(P421:S421)</f>
        <v/>
      </c>
      <c r="U421" s="3">
        <f>IF(T421=0,"",P421/T421)</f>
        <v/>
      </c>
      <c r="V421" s="3">
        <f>IF(T421=0,"",Q421/T421)</f>
        <v/>
      </c>
      <c r="W421" s="3">
        <f>IF(T421=0,"",R421/T421)</f>
        <v/>
      </c>
      <c r="X421" s="3">
        <f>IF(T421=0,"",S421/T421)</f>
        <v/>
      </c>
      <c r="Y421" s="4">
        <f>IF(T421=0,"",U421*Pesos!$B$2+V421*Pesos!$B$3+W421*Pesos!$B$4+X421*Pesos!$B$5)</f>
        <v/>
      </c>
    </row>
    <row r="422">
      <c r="A422" s="2" t="n">
        <v>422</v>
      </c>
      <c r="B422" t="n">
        <v>7</v>
      </c>
      <c r="C422" t="n">
        <v>1317</v>
      </c>
      <c r="D422" t="n">
        <v>1311</v>
      </c>
      <c r="E422" t="n">
        <v>1227</v>
      </c>
      <c r="F422" t="n">
        <v>1420</v>
      </c>
      <c r="G422" t="n">
        <v>1373</v>
      </c>
      <c r="H422" t="n">
        <v>840</v>
      </c>
      <c r="I422" t="n">
        <v>3358</v>
      </c>
      <c r="J422" t="n">
        <v>1842</v>
      </c>
      <c r="K422" t="n">
        <v>156</v>
      </c>
      <c r="L422" t="n">
        <v>18</v>
      </c>
      <c r="M422" t="n">
        <v>7</v>
      </c>
      <c r="N422" t="n">
        <v>0</v>
      </c>
      <c r="O422" s="6" t="n">
        <v>12869</v>
      </c>
      <c r="P422">
        <f>SUM(C422:H422)</f>
        <v/>
      </c>
      <c r="Q422">
        <f>I422</f>
        <v/>
      </c>
      <c r="R422">
        <f>J422</f>
        <v/>
      </c>
      <c r="S422">
        <f>SUM(K422:N422)</f>
        <v/>
      </c>
      <c r="T422">
        <f>SUM(P422:S422)</f>
        <v/>
      </c>
      <c r="U422" s="3">
        <f>IF(T422=0,"",P422/T422)</f>
        <v/>
      </c>
      <c r="V422" s="3">
        <f>IF(T422=0,"",Q422/T422)</f>
        <v/>
      </c>
      <c r="W422" s="3">
        <f>IF(T422=0,"",R422/T422)</f>
        <v/>
      </c>
      <c r="X422" s="3">
        <f>IF(T422=0,"",S422/T422)</f>
        <v/>
      </c>
      <c r="Y422" s="4">
        <f>IF(T422=0,"",U422*Pesos!$B$2+V422*Pesos!$B$3+W422*Pesos!$B$4+X422*Pesos!$B$5)</f>
        <v/>
      </c>
    </row>
    <row r="423">
      <c r="A423" s="2" t="n">
        <v>423</v>
      </c>
      <c r="B423" t="n">
        <v>8</v>
      </c>
      <c r="C423" t="n">
        <v>710</v>
      </c>
      <c r="D423" t="n">
        <v>873</v>
      </c>
      <c r="E423" t="n">
        <v>995</v>
      </c>
      <c r="F423" t="n">
        <v>669</v>
      </c>
      <c r="G423" t="n">
        <v>458</v>
      </c>
      <c r="H423" t="n">
        <v>319</v>
      </c>
      <c r="I423" t="n">
        <v>1691</v>
      </c>
      <c r="J423" t="n">
        <v>4317</v>
      </c>
      <c r="K423" t="n">
        <v>1538</v>
      </c>
      <c r="L423" t="n">
        <v>361</v>
      </c>
      <c r="M423" t="n">
        <v>84</v>
      </c>
      <c r="N423" t="n">
        <v>7</v>
      </c>
      <c r="O423" s="6" t="n">
        <v>12022</v>
      </c>
      <c r="P423">
        <f>SUM(C423:H423)</f>
        <v/>
      </c>
      <c r="Q423">
        <f>I423</f>
        <v/>
      </c>
      <c r="R423">
        <f>J423</f>
        <v/>
      </c>
      <c r="S423">
        <f>SUM(K423:N423)</f>
        <v/>
      </c>
      <c r="T423">
        <f>SUM(P423:S423)</f>
        <v/>
      </c>
      <c r="U423" s="3">
        <f>IF(T423=0,"",P423/T423)</f>
        <v/>
      </c>
      <c r="V423" s="3">
        <f>IF(T423=0,"",Q423/T423)</f>
        <v/>
      </c>
      <c r="W423" s="3">
        <f>IF(T423=0,"",R423/T423)</f>
        <v/>
      </c>
      <c r="X423" s="3">
        <f>IF(T423=0,"",S423/T423)</f>
        <v/>
      </c>
      <c r="Y423" s="4">
        <f>IF(T423=0,"",U423*Pesos!$B$2+V423*Pesos!$B$3+W423*Pesos!$B$4+X423*Pesos!$B$5)</f>
        <v/>
      </c>
    </row>
    <row r="424">
      <c r="A424" s="2" t="n">
        <v>424</v>
      </c>
      <c r="B424" t="n">
        <v>11</v>
      </c>
      <c r="C424" t="n">
        <v>1571</v>
      </c>
      <c r="D424" t="n">
        <v>1212</v>
      </c>
      <c r="E424" t="n">
        <v>1323</v>
      </c>
      <c r="F424" t="n">
        <v>1007</v>
      </c>
      <c r="G424" t="n">
        <v>832</v>
      </c>
      <c r="H424" t="n">
        <v>862</v>
      </c>
      <c r="I424" t="n">
        <v>2766</v>
      </c>
      <c r="J424" t="n">
        <v>3200</v>
      </c>
      <c r="K424" t="n">
        <v>2127</v>
      </c>
      <c r="L424" t="n">
        <v>882</v>
      </c>
      <c r="M424" t="n">
        <v>615</v>
      </c>
      <c r="N424" t="n">
        <v>235</v>
      </c>
      <c r="O424" s="6" t="n">
        <v>16632</v>
      </c>
      <c r="P424">
        <f>SUM(C424:H424)</f>
        <v/>
      </c>
      <c r="Q424">
        <f>I424</f>
        <v/>
      </c>
      <c r="R424">
        <f>J424</f>
        <v/>
      </c>
      <c r="S424">
        <f>SUM(K424:N424)</f>
        <v/>
      </c>
      <c r="T424">
        <f>SUM(P424:S424)</f>
        <v/>
      </c>
      <c r="U424" s="3">
        <f>IF(T424=0,"",P424/T424)</f>
        <v/>
      </c>
      <c r="V424" s="3">
        <f>IF(T424=0,"",Q424/T424)</f>
        <v/>
      </c>
      <c r="W424" s="3">
        <f>IF(T424=0,"",R424/T424)</f>
        <v/>
      </c>
      <c r="X424" s="3">
        <f>IF(T424=0,"",S424/T424)</f>
        <v/>
      </c>
      <c r="Y424" s="4">
        <f>IF(T424=0,"",U424*Pesos!$B$2+V424*Pesos!$B$3+W424*Pesos!$B$4+X424*Pesos!$B$5)</f>
        <v/>
      </c>
    </row>
    <row r="425">
      <c r="A425" s="2" t="n">
        <v>425</v>
      </c>
      <c r="B425" t="n">
        <v>2</v>
      </c>
      <c r="C425" t="n">
        <v>529</v>
      </c>
      <c r="D425" t="n">
        <v>997</v>
      </c>
      <c r="E425" t="n">
        <v>1031</v>
      </c>
      <c r="F425" t="n">
        <v>975</v>
      </c>
      <c r="G425" t="n">
        <v>879</v>
      </c>
      <c r="H425" t="n">
        <v>124</v>
      </c>
      <c r="I425" t="n">
        <v>368</v>
      </c>
      <c r="J425" t="n">
        <v>134</v>
      </c>
      <c r="K425" t="n">
        <v>73</v>
      </c>
      <c r="L425" t="n">
        <v>85</v>
      </c>
      <c r="M425" t="n">
        <v>13</v>
      </c>
      <c r="N425" t="n">
        <v>0</v>
      </c>
      <c r="O425" s="6" t="n">
        <v>5208</v>
      </c>
      <c r="P425">
        <f>SUM(C425:H425)</f>
        <v/>
      </c>
      <c r="Q425">
        <f>I425</f>
        <v/>
      </c>
      <c r="R425">
        <f>J425</f>
        <v/>
      </c>
      <c r="S425">
        <f>SUM(K425:N425)</f>
        <v/>
      </c>
      <c r="T425">
        <f>SUM(P425:S425)</f>
        <v/>
      </c>
      <c r="U425" s="3">
        <f>IF(T425=0,"",P425/T425)</f>
        <v/>
      </c>
      <c r="V425" s="3">
        <f>IF(T425=0,"",Q425/T425)</f>
        <v/>
      </c>
      <c r="W425" s="3">
        <f>IF(T425=0,"",R425/T425)</f>
        <v/>
      </c>
      <c r="X425" s="3">
        <f>IF(T425=0,"",S425/T425)</f>
        <v/>
      </c>
      <c r="Y425" s="4">
        <f>IF(T425=0,"",U425*Pesos!$B$2+V425*Pesos!$B$3+W425*Pesos!$B$4+X425*Pesos!$B$5)</f>
        <v/>
      </c>
    </row>
    <row r="426">
      <c r="A426" s="2" t="n">
        <v>426</v>
      </c>
      <c r="B426" t="n">
        <v>10</v>
      </c>
      <c r="C426" t="n">
        <v>964</v>
      </c>
      <c r="D426" t="n">
        <v>929</v>
      </c>
      <c r="E426" t="n">
        <v>827</v>
      </c>
      <c r="F426" t="n">
        <v>656</v>
      </c>
      <c r="G426" t="n">
        <v>587</v>
      </c>
      <c r="H426" t="n">
        <v>543</v>
      </c>
      <c r="I426" t="n">
        <v>3282</v>
      </c>
      <c r="J426" t="n">
        <v>8274</v>
      </c>
      <c r="K426" t="n">
        <v>9</v>
      </c>
      <c r="L426" t="n">
        <v>0</v>
      </c>
      <c r="M426" t="n">
        <v>0</v>
      </c>
      <c r="N426" t="n">
        <v>0</v>
      </c>
      <c r="O426" s="6" t="n">
        <v>16071</v>
      </c>
      <c r="P426">
        <f>SUM(C426:H426)</f>
        <v/>
      </c>
      <c r="Q426">
        <f>I426</f>
        <v/>
      </c>
      <c r="R426">
        <f>J426</f>
        <v/>
      </c>
      <c r="S426">
        <f>SUM(K426:N426)</f>
        <v/>
      </c>
      <c r="T426">
        <f>SUM(P426:S426)</f>
        <v/>
      </c>
      <c r="U426" s="3">
        <f>IF(T426=0,"",P426/T426)</f>
        <v/>
      </c>
      <c r="V426" s="3">
        <f>IF(T426=0,"",Q426/T426)</f>
        <v/>
      </c>
      <c r="W426" s="3">
        <f>IF(T426=0,"",R426/T426)</f>
        <v/>
      </c>
      <c r="X426" s="3">
        <f>IF(T426=0,"",S426/T426)</f>
        <v/>
      </c>
      <c r="Y426" s="4">
        <f>IF(T426=0,"",U426*Pesos!$B$2+V426*Pesos!$B$3+W426*Pesos!$B$4+X426*Pesos!$B$5)</f>
        <v/>
      </c>
    </row>
    <row r="427">
      <c r="A427" s="2" t="n">
        <v>427</v>
      </c>
      <c r="B427" t="n">
        <v>1</v>
      </c>
      <c r="C427" t="n">
        <v>859</v>
      </c>
      <c r="D427" t="n">
        <v>1139</v>
      </c>
      <c r="E427" t="n">
        <v>151</v>
      </c>
      <c r="F427" t="n">
        <v>96</v>
      </c>
      <c r="G427" t="n">
        <v>168</v>
      </c>
      <c r="H427" t="n">
        <v>133</v>
      </c>
      <c r="I427" t="n">
        <v>311</v>
      </c>
      <c r="J427" t="n">
        <v>297</v>
      </c>
      <c r="K427" t="n">
        <v>19</v>
      </c>
      <c r="L427" t="n">
        <v>0</v>
      </c>
      <c r="M427" t="n">
        <v>0</v>
      </c>
      <c r="N427" t="n">
        <v>0</v>
      </c>
      <c r="O427" s="6" t="n">
        <v>3173</v>
      </c>
      <c r="P427">
        <f>SUM(C427:H427)</f>
        <v/>
      </c>
      <c r="Q427">
        <f>I427</f>
        <v/>
      </c>
      <c r="R427">
        <f>J427</f>
        <v/>
      </c>
      <c r="S427">
        <f>SUM(K427:N427)</f>
        <v/>
      </c>
      <c r="T427">
        <f>SUM(P427:S427)</f>
        <v/>
      </c>
      <c r="U427" s="3">
        <f>IF(T427=0,"",P427/T427)</f>
        <v/>
      </c>
      <c r="V427" s="3">
        <f>IF(T427=0,"",Q427/T427)</f>
        <v/>
      </c>
      <c r="W427" s="3">
        <f>IF(T427=0,"",R427/T427)</f>
        <v/>
      </c>
      <c r="X427" s="3">
        <f>IF(T427=0,"",S427/T427)</f>
        <v/>
      </c>
      <c r="Y427" s="4">
        <f>IF(T427=0,"",U427*Pesos!$B$2+V427*Pesos!$B$3+W427*Pesos!$B$4+X427*Pesos!$B$5)</f>
        <v/>
      </c>
    </row>
    <row r="428">
      <c r="A428" s="2" t="n">
        <v>428</v>
      </c>
      <c r="B428" t="n">
        <v>6</v>
      </c>
      <c r="C428" t="n">
        <v>708</v>
      </c>
      <c r="D428" t="n">
        <v>816</v>
      </c>
      <c r="E428" t="n">
        <v>777</v>
      </c>
      <c r="F428" t="n">
        <v>1804</v>
      </c>
      <c r="G428" t="n">
        <v>2277</v>
      </c>
      <c r="H428" t="n">
        <v>370</v>
      </c>
      <c r="I428" t="n">
        <v>2698</v>
      </c>
      <c r="J428" t="n">
        <v>4660</v>
      </c>
      <c r="K428" t="n">
        <v>8</v>
      </c>
      <c r="L428" t="n">
        <v>0</v>
      </c>
      <c r="M428" t="n">
        <v>0</v>
      </c>
      <c r="N428" t="n">
        <v>0</v>
      </c>
      <c r="O428" s="6" t="n">
        <v>14118</v>
      </c>
      <c r="P428">
        <f>SUM(C428:H428)</f>
        <v/>
      </c>
      <c r="Q428">
        <f>I428</f>
        <v/>
      </c>
      <c r="R428">
        <f>J428</f>
        <v/>
      </c>
      <c r="S428">
        <f>SUM(K428:N428)</f>
        <v/>
      </c>
      <c r="T428">
        <f>SUM(P428:S428)</f>
        <v/>
      </c>
      <c r="U428" s="3">
        <f>IF(T428=0,"",P428/T428)</f>
        <v/>
      </c>
      <c r="V428" s="3">
        <f>IF(T428=0,"",Q428/T428)</f>
        <v/>
      </c>
      <c r="W428" s="3">
        <f>IF(T428=0,"",R428/T428)</f>
        <v/>
      </c>
      <c r="X428" s="3">
        <f>IF(T428=0,"",S428/T428)</f>
        <v/>
      </c>
      <c r="Y428" s="4">
        <f>IF(T428=0,"",U428*Pesos!$B$2+V428*Pesos!$B$3+W428*Pesos!$B$4+X428*Pesos!$B$5)</f>
        <v/>
      </c>
    </row>
    <row r="429">
      <c r="A429" s="2" t="n">
        <v>429</v>
      </c>
      <c r="B429" t="n">
        <v>6</v>
      </c>
      <c r="C429" t="n">
        <v>1148</v>
      </c>
      <c r="D429" t="n">
        <v>1208</v>
      </c>
      <c r="E429" t="n">
        <v>1286</v>
      </c>
      <c r="F429" t="n">
        <v>777</v>
      </c>
      <c r="G429" t="n">
        <v>648</v>
      </c>
      <c r="H429" t="n">
        <v>358</v>
      </c>
      <c r="I429" t="n">
        <v>1348</v>
      </c>
      <c r="J429" t="n">
        <v>2561</v>
      </c>
      <c r="K429" t="n">
        <v>1453</v>
      </c>
      <c r="L429" t="n">
        <v>132</v>
      </c>
      <c r="M429" t="n">
        <v>69</v>
      </c>
      <c r="N429" t="n">
        <v>1</v>
      </c>
      <c r="O429" s="6" t="n">
        <v>10989</v>
      </c>
      <c r="P429">
        <f>SUM(C429:H429)</f>
        <v/>
      </c>
      <c r="Q429">
        <f>I429</f>
        <v/>
      </c>
      <c r="R429">
        <f>J429</f>
        <v/>
      </c>
      <c r="S429">
        <f>SUM(K429:N429)</f>
        <v/>
      </c>
      <c r="T429">
        <f>SUM(P429:S429)</f>
        <v/>
      </c>
      <c r="U429" s="3">
        <f>IF(T429=0,"",P429/T429)</f>
        <v/>
      </c>
      <c r="V429" s="3">
        <f>IF(T429=0,"",Q429/T429)</f>
        <v/>
      </c>
      <c r="W429" s="3">
        <f>IF(T429=0,"",R429/T429)</f>
        <v/>
      </c>
      <c r="X429" s="3">
        <f>IF(T429=0,"",S429/T429)</f>
        <v/>
      </c>
      <c r="Y429" s="4">
        <f>IF(T429=0,"",U429*Pesos!$B$2+V429*Pesos!$B$3+W429*Pesos!$B$4+X429*Pesos!$B$5)</f>
        <v/>
      </c>
    </row>
    <row r="430">
      <c r="A430" s="2" t="n">
        <v>430</v>
      </c>
      <c r="B430" t="n">
        <v>7</v>
      </c>
      <c r="C430" t="n">
        <v>819</v>
      </c>
      <c r="D430" t="n">
        <v>788</v>
      </c>
      <c r="E430" t="n">
        <v>854</v>
      </c>
      <c r="F430" t="n">
        <v>744</v>
      </c>
      <c r="G430" t="n">
        <v>431</v>
      </c>
      <c r="H430" t="n">
        <v>335</v>
      </c>
      <c r="I430" t="n">
        <v>1289</v>
      </c>
      <c r="J430" t="n">
        <v>3041</v>
      </c>
      <c r="K430" t="n">
        <v>1032</v>
      </c>
      <c r="L430" t="n">
        <v>83</v>
      </c>
      <c r="M430" t="n">
        <v>15</v>
      </c>
      <c r="N430" t="n">
        <v>0</v>
      </c>
      <c r="O430" s="6" t="n">
        <v>9431</v>
      </c>
      <c r="P430">
        <f>SUM(C430:H430)</f>
        <v/>
      </c>
      <c r="Q430">
        <f>I430</f>
        <v/>
      </c>
      <c r="R430">
        <f>J430</f>
        <v/>
      </c>
      <c r="S430">
        <f>SUM(K430:N430)</f>
        <v/>
      </c>
      <c r="T430">
        <f>SUM(P430:S430)</f>
        <v/>
      </c>
      <c r="U430" s="3">
        <f>IF(T430=0,"",P430/T430)</f>
        <v/>
      </c>
      <c r="V430" s="3">
        <f>IF(T430=0,"",Q430/T430)</f>
        <v/>
      </c>
      <c r="W430" s="3">
        <f>IF(T430=0,"",R430/T430)</f>
        <v/>
      </c>
      <c r="X430" s="3">
        <f>IF(T430=0,"",S430/T430)</f>
        <v/>
      </c>
      <c r="Y430" s="4">
        <f>IF(T430=0,"",U430*Pesos!$B$2+V430*Pesos!$B$3+W430*Pesos!$B$4+X430*Pesos!$B$5)</f>
        <v/>
      </c>
    </row>
    <row r="431">
      <c r="A431" s="2" t="n">
        <v>431</v>
      </c>
      <c r="B431" t="n">
        <v>9</v>
      </c>
      <c r="C431" t="n">
        <v>1974</v>
      </c>
      <c r="D431" t="n">
        <v>1640</v>
      </c>
      <c r="E431" t="n">
        <v>1807</v>
      </c>
      <c r="F431" t="n">
        <v>1509</v>
      </c>
      <c r="G431" t="n">
        <v>1005</v>
      </c>
      <c r="H431" t="n">
        <v>765</v>
      </c>
      <c r="I431" t="n">
        <v>2112</v>
      </c>
      <c r="J431" t="n">
        <v>3950</v>
      </c>
      <c r="K431" t="n">
        <v>899</v>
      </c>
      <c r="L431" t="n">
        <v>55</v>
      </c>
      <c r="M431" t="n">
        <v>20</v>
      </c>
      <c r="N431" t="n">
        <v>0</v>
      </c>
      <c r="O431" s="6" t="n">
        <v>15736</v>
      </c>
      <c r="P431">
        <f>SUM(C431:H431)</f>
        <v/>
      </c>
      <c r="Q431">
        <f>I431</f>
        <v/>
      </c>
      <c r="R431">
        <f>J431</f>
        <v/>
      </c>
      <c r="S431">
        <f>SUM(K431:N431)</f>
        <v/>
      </c>
      <c r="T431">
        <f>SUM(P431:S431)</f>
        <v/>
      </c>
      <c r="U431" s="3">
        <f>IF(T431=0,"",P431/T431)</f>
        <v/>
      </c>
      <c r="V431" s="3">
        <f>IF(T431=0,"",Q431/T431)</f>
        <v/>
      </c>
      <c r="W431" s="3">
        <f>IF(T431=0,"",R431/T431)</f>
        <v/>
      </c>
      <c r="X431" s="3">
        <f>IF(T431=0,"",S431/T431)</f>
        <v/>
      </c>
      <c r="Y431" s="4">
        <f>IF(T431=0,"",U431*Pesos!$B$2+V431*Pesos!$B$3+W431*Pesos!$B$4+X431*Pesos!$B$5)</f>
        <v/>
      </c>
    </row>
    <row r="432">
      <c r="A432" s="2" t="n">
        <v>432</v>
      </c>
      <c r="B432" t="n">
        <v>5</v>
      </c>
      <c r="C432" t="n">
        <v>831</v>
      </c>
      <c r="D432" t="n">
        <v>803</v>
      </c>
      <c r="E432" t="n">
        <v>965</v>
      </c>
      <c r="F432" t="n">
        <v>675</v>
      </c>
      <c r="G432" t="n">
        <v>543</v>
      </c>
      <c r="H432" t="n">
        <v>419</v>
      </c>
      <c r="I432" t="n">
        <v>1229</v>
      </c>
      <c r="J432" t="n">
        <v>3686</v>
      </c>
      <c r="K432" t="n">
        <v>74</v>
      </c>
      <c r="L432" t="n">
        <v>8</v>
      </c>
      <c r="M432" t="n">
        <v>0</v>
      </c>
      <c r="N432" t="n">
        <v>0</v>
      </c>
      <c r="O432" s="6" t="n">
        <v>9233</v>
      </c>
      <c r="P432">
        <f>SUM(C432:H432)</f>
        <v/>
      </c>
      <c r="Q432">
        <f>I432</f>
        <v/>
      </c>
      <c r="R432">
        <f>J432</f>
        <v/>
      </c>
      <c r="S432">
        <f>SUM(K432:N432)</f>
        <v/>
      </c>
      <c r="T432">
        <f>SUM(P432:S432)</f>
        <v/>
      </c>
      <c r="U432" s="3">
        <f>IF(T432=0,"",P432/T432)</f>
        <v/>
      </c>
      <c r="V432" s="3">
        <f>IF(T432=0,"",Q432/T432)</f>
        <v/>
      </c>
      <c r="W432" s="3">
        <f>IF(T432=0,"",R432/T432)</f>
        <v/>
      </c>
      <c r="X432" s="3">
        <f>IF(T432=0,"",S432/T432)</f>
        <v/>
      </c>
      <c r="Y432" s="4">
        <f>IF(T432=0,"",U432*Pesos!$B$2+V432*Pesos!$B$3+W432*Pesos!$B$4+X432*Pesos!$B$5)</f>
        <v/>
      </c>
    </row>
    <row r="433">
      <c r="A433" s="2" t="n">
        <v>433</v>
      </c>
      <c r="B433" t="n">
        <v>6</v>
      </c>
      <c r="C433" t="n">
        <v>2869</v>
      </c>
      <c r="D433" t="n">
        <v>3240</v>
      </c>
      <c r="E433" t="n">
        <v>2257</v>
      </c>
      <c r="F433" t="n">
        <v>1296</v>
      </c>
      <c r="G433" t="n">
        <v>898</v>
      </c>
      <c r="H433" t="n">
        <v>638</v>
      </c>
      <c r="I433" t="n">
        <v>1569</v>
      </c>
      <c r="J433" t="n">
        <v>2721</v>
      </c>
      <c r="K433" t="n">
        <v>239</v>
      </c>
      <c r="L433" t="n">
        <v>64</v>
      </c>
      <c r="M433" t="n">
        <v>12</v>
      </c>
      <c r="N433" t="n">
        <v>0</v>
      </c>
      <c r="O433" s="6" t="n">
        <v>15803</v>
      </c>
      <c r="P433">
        <f>SUM(C433:H433)</f>
        <v/>
      </c>
      <c r="Q433">
        <f>I433</f>
        <v/>
      </c>
      <c r="R433">
        <f>J433</f>
        <v/>
      </c>
      <c r="S433">
        <f>SUM(K433:N433)</f>
        <v/>
      </c>
      <c r="T433">
        <f>SUM(P433:S433)</f>
        <v/>
      </c>
      <c r="U433" s="3">
        <f>IF(T433=0,"",P433/T433)</f>
        <v/>
      </c>
      <c r="V433" s="3">
        <f>IF(T433=0,"",Q433/T433)</f>
        <v/>
      </c>
      <c r="W433" s="3">
        <f>IF(T433=0,"",R433/T433)</f>
        <v/>
      </c>
      <c r="X433" s="3">
        <f>IF(T433=0,"",S433/T433)</f>
        <v/>
      </c>
      <c r="Y433" s="4">
        <f>IF(T433=0,"",U433*Pesos!$B$2+V433*Pesos!$B$3+W433*Pesos!$B$4+X433*Pesos!$B$5)</f>
        <v/>
      </c>
    </row>
    <row r="434">
      <c r="A434" s="2" t="n">
        <v>434</v>
      </c>
      <c r="B434" t="n">
        <v>1</v>
      </c>
      <c r="C434" t="n">
        <v>312</v>
      </c>
      <c r="D434" t="n">
        <v>214</v>
      </c>
      <c r="E434" t="n">
        <v>215</v>
      </c>
      <c r="F434" t="n">
        <v>286</v>
      </c>
      <c r="G434" t="n">
        <v>230</v>
      </c>
      <c r="H434" t="n">
        <v>88</v>
      </c>
      <c r="I434" t="n">
        <v>119</v>
      </c>
      <c r="J434" t="n">
        <v>265</v>
      </c>
      <c r="K434" t="n">
        <v>135</v>
      </c>
      <c r="L434" t="n">
        <v>0</v>
      </c>
      <c r="M434" t="n">
        <v>0</v>
      </c>
      <c r="N434" t="n">
        <v>0</v>
      </c>
      <c r="O434" s="6" t="n">
        <v>1864</v>
      </c>
      <c r="P434">
        <f>SUM(C434:H434)</f>
        <v/>
      </c>
      <c r="Q434">
        <f>I434</f>
        <v/>
      </c>
      <c r="R434">
        <f>J434</f>
        <v/>
      </c>
      <c r="S434">
        <f>SUM(K434:N434)</f>
        <v/>
      </c>
      <c r="T434">
        <f>SUM(P434:S434)</f>
        <v/>
      </c>
      <c r="U434" s="3">
        <f>IF(T434=0,"",P434/T434)</f>
        <v/>
      </c>
      <c r="V434" s="3">
        <f>IF(T434=0,"",Q434/T434)</f>
        <v/>
      </c>
      <c r="W434" s="3">
        <f>IF(T434=0,"",R434/T434)</f>
        <v/>
      </c>
      <c r="X434" s="3">
        <f>IF(T434=0,"",S434/T434)</f>
        <v/>
      </c>
      <c r="Y434" s="4">
        <f>IF(T434=0,"",U434*Pesos!$B$2+V434*Pesos!$B$3+W434*Pesos!$B$4+X434*Pesos!$B$5)</f>
        <v/>
      </c>
    </row>
    <row r="435">
      <c r="A435" s="2" t="n">
        <v>435</v>
      </c>
      <c r="B435" t="n">
        <v>3</v>
      </c>
      <c r="C435" t="n">
        <v>591</v>
      </c>
      <c r="D435" t="n">
        <v>446</v>
      </c>
      <c r="E435" t="n">
        <v>660</v>
      </c>
      <c r="F435" t="n">
        <v>649</v>
      </c>
      <c r="G435" t="n">
        <v>402</v>
      </c>
      <c r="H435" t="n">
        <v>433</v>
      </c>
      <c r="I435" t="n">
        <v>1412</v>
      </c>
      <c r="J435" t="n">
        <v>1272</v>
      </c>
      <c r="K435" t="n">
        <v>566</v>
      </c>
      <c r="L435" t="n">
        <v>59</v>
      </c>
      <c r="M435" t="n">
        <v>9</v>
      </c>
      <c r="N435" t="n">
        <v>3</v>
      </c>
      <c r="O435" s="6" t="n">
        <v>6502</v>
      </c>
      <c r="P435">
        <f>SUM(C435:H435)</f>
        <v/>
      </c>
      <c r="Q435">
        <f>I435</f>
        <v/>
      </c>
      <c r="R435">
        <f>J435</f>
        <v/>
      </c>
      <c r="S435">
        <f>SUM(K435:N435)</f>
        <v/>
      </c>
      <c r="T435">
        <f>SUM(P435:S435)</f>
        <v/>
      </c>
      <c r="U435" s="3">
        <f>IF(T435=0,"",P435/T435)</f>
        <v/>
      </c>
      <c r="V435" s="3">
        <f>IF(T435=0,"",Q435/T435)</f>
        <v/>
      </c>
      <c r="W435" s="3">
        <f>IF(T435=0,"",R435/T435)</f>
        <v/>
      </c>
      <c r="X435" s="3">
        <f>IF(T435=0,"",S435/T435)</f>
        <v/>
      </c>
      <c r="Y435" s="4">
        <f>IF(T435=0,"",U435*Pesos!$B$2+V435*Pesos!$B$3+W435*Pesos!$B$4+X435*Pesos!$B$5)</f>
        <v/>
      </c>
    </row>
    <row r="436">
      <c r="A436" s="2" t="n">
        <v>436</v>
      </c>
      <c r="B436" t="n">
        <v>12</v>
      </c>
      <c r="C436" t="n">
        <v>1563</v>
      </c>
      <c r="D436" t="n">
        <v>1191</v>
      </c>
      <c r="E436" t="n">
        <v>1580</v>
      </c>
      <c r="F436" t="n">
        <v>1353</v>
      </c>
      <c r="G436" t="n">
        <v>1194</v>
      </c>
      <c r="H436" t="n">
        <v>738</v>
      </c>
      <c r="I436" t="n">
        <v>3493</v>
      </c>
      <c r="J436" t="n">
        <v>3412</v>
      </c>
      <c r="K436" t="n">
        <v>4753</v>
      </c>
      <c r="L436" t="n">
        <v>1253</v>
      </c>
      <c r="M436" t="n">
        <v>240</v>
      </c>
      <c r="N436" t="n">
        <v>1</v>
      </c>
      <c r="O436" s="6" t="n">
        <v>20771</v>
      </c>
      <c r="P436">
        <f>SUM(C436:H436)</f>
        <v/>
      </c>
      <c r="Q436">
        <f>I436</f>
        <v/>
      </c>
      <c r="R436">
        <f>J436</f>
        <v/>
      </c>
      <c r="S436">
        <f>SUM(K436:N436)</f>
        <v/>
      </c>
      <c r="T436">
        <f>SUM(P436:S436)</f>
        <v/>
      </c>
      <c r="U436" s="3">
        <f>IF(T436=0,"",P436/T436)</f>
        <v/>
      </c>
      <c r="V436" s="3">
        <f>IF(T436=0,"",Q436/T436)</f>
        <v/>
      </c>
      <c r="W436" s="3">
        <f>IF(T436=0,"",R436/T436)</f>
        <v/>
      </c>
      <c r="X436" s="3">
        <f>IF(T436=0,"",S436/T436)</f>
        <v/>
      </c>
      <c r="Y436" s="4">
        <f>IF(T436=0,"",U436*Pesos!$B$2+V436*Pesos!$B$3+W436*Pesos!$B$4+X436*Pesos!$B$5)</f>
        <v/>
      </c>
    </row>
    <row r="437">
      <c r="A437" s="2" t="n">
        <v>437</v>
      </c>
      <c r="B437" t="n">
        <v>9</v>
      </c>
      <c r="C437" t="n">
        <v>1280</v>
      </c>
      <c r="D437" t="n">
        <v>1196</v>
      </c>
      <c r="E437" t="n">
        <v>1239</v>
      </c>
      <c r="F437" t="n">
        <v>1407</v>
      </c>
      <c r="G437" t="n">
        <v>1264</v>
      </c>
      <c r="H437" t="n">
        <v>1461</v>
      </c>
      <c r="I437" t="n">
        <v>2589</v>
      </c>
      <c r="J437" t="n">
        <v>3279</v>
      </c>
      <c r="K437" t="n">
        <v>1755</v>
      </c>
      <c r="L437" t="n">
        <v>0</v>
      </c>
      <c r="M437" t="n">
        <v>0</v>
      </c>
      <c r="N437" t="n">
        <v>0</v>
      </c>
      <c r="O437" s="6" t="n">
        <v>15470</v>
      </c>
      <c r="P437">
        <f>SUM(C437:H437)</f>
        <v/>
      </c>
      <c r="Q437">
        <f>I437</f>
        <v/>
      </c>
      <c r="R437">
        <f>J437</f>
        <v/>
      </c>
      <c r="S437">
        <f>SUM(K437:N437)</f>
        <v/>
      </c>
      <c r="T437">
        <f>SUM(P437:S437)</f>
        <v/>
      </c>
      <c r="U437" s="3">
        <f>IF(T437=0,"",P437/T437)</f>
        <v/>
      </c>
      <c r="V437" s="3">
        <f>IF(T437=0,"",Q437/T437)</f>
        <v/>
      </c>
      <c r="W437" s="3">
        <f>IF(T437=0,"",R437/T437)</f>
        <v/>
      </c>
      <c r="X437" s="3">
        <f>IF(T437=0,"",S437/T437)</f>
        <v/>
      </c>
      <c r="Y437" s="4">
        <f>IF(T437=0,"",U437*Pesos!$B$2+V437*Pesos!$B$3+W437*Pesos!$B$4+X437*Pesos!$B$5)</f>
        <v/>
      </c>
    </row>
    <row r="438">
      <c r="A438" s="2" t="n">
        <v>438</v>
      </c>
      <c r="B438" t="n">
        <v>9</v>
      </c>
      <c r="C438" t="n">
        <v>1073</v>
      </c>
      <c r="D438" t="n">
        <v>1292</v>
      </c>
      <c r="E438" t="n">
        <v>1147</v>
      </c>
      <c r="F438" t="n">
        <v>1080</v>
      </c>
      <c r="G438" t="n">
        <v>763</v>
      </c>
      <c r="H438" t="n">
        <v>698</v>
      </c>
      <c r="I438" t="n">
        <v>2039</v>
      </c>
      <c r="J438" t="n">
        <v>2171</v>
      </c>
      <c r="K438" t="n">
        <v>1474</v>
      </c>
      <c r="L438" t="n">
        <v>695</v>
      </c>
      <c r="M438" t="n">
        <v>273</v>
      </c>
      <c r="N438" t="n">
        <v>60</v>
      </c>
      <c r="O438" s="6" t="n">
        <v>12765</v>
      </c>
      <c r="P438">
        <f>SUM(C438:H438)</f>
        <v/>
      </c>
      <c r="Q438">
        <f>I438</f>
        <v/>
      </c>
      <c r="R438">
        <f>J438</f>
        <v/>
      </c>
      <c r="S438">
        <f>SUM(K438:N438)</f>
        <v/>
      </c>
      <c r="T438">
        <f>SUM(P438:S438)</f>
        <v/>
      </c>
      <c r="U438" s="3">
        <f>IF(T438=0,"",P438/T438)</f>
        <v/>
      </c>
      <c r="V438" s="3">
        <f>IF(T438=0,"",Q438/T438)</f>
        <v/>
      </c>
      <c r="W438" s="3">
        <f>IF(T438=0,"",R438/T438)</f>
        <v/>
      </c>
      <c r="X438" s="3">
        <f>IF(T438=0,"",S438/T438)</f>
        <v/>
      </c>
      <c r="Y438" s="4">
        <f>IF(T438=0,"",U438*Pesos!$B$2+V438*Pesos!$B$3+W438*Pesos!$B$4+X438*Pesos!$B$5)</f>
        <v/>
      </c>
    </row>
    <row r="439">
      <c r="A439" s="2" t="n">
        <v>439</v>
      </c>
      <c r="B439" t="n">
        <v>7</v>
      </c>
      <c r="C439" t="n">
        <v>1120</v>
      </c>
      <c r="D439" t="n">
        <v>1283</v>
      </c>
      <c r="E439" t="n">
        <v>1162</v>
      </c>
      <c r="F439" t="n">
        <v>713</v>
      </c>
      <c r="G439" t="n">
        <v>654</v>
      </c>
      <c r="H439" t="n">
        <v>543</v>
      </c>
      <c r="I439" t="n">
        <v>2291</v>
      </c>
      <c r="J439" t="n">
        <v>2032</v>
      </c>
      <c r="K439" t="n">
        <v>1081</v>
      </c>
      <c r="L439" t="n">
        <v>464</v>
      </c>
      <c r="M439" t="n">
        <v>204</v>
      </c>
      <c r="N439" t="n">
        <v>46</v>
      </c>
      <c r="O439" s="6" t="n">
        <v>11593</v>
      </c>
      <c r="P439">
        <f>SUM(C439:H439)</f>
        <v/>
      </c>
      <c r="Q439">
        <f>I439</f>
        <v/>
      </c>
      <c r="R439">
        <f>J439</f>
        <v/>
      </c>
      <c r="S439">
        <f>SUM(K439:N439)</f>
        <v/>
      </c>
      <c r="T439">
        <f>SUM(P439:S439)</f>
        <v/>
      </c>
      <c r="U439" s="3">
        <f>IF(T439=0,"",P439/T439)</f>
        <v/>
      </c>
      <c r="V439" s="3">
        <f>IF(T439=0,"",Q439/T439)</f>
        <v/>
      </c>
      <c r="W439" s="3">
        <f>IF(T439=0,"",R439/T439)</f>
        <v/>
      </c>
      <c r="X439" s="3">
        <f>IF(T439=0,"",S439/T439)</f>
        <v/>
      </c>
      <c r="Y439" s="4">
        <f>IF(T439=0,"",U439*Pesos!$B$2+V439*Pesos!$B$3+W439*Pesos!$B$4+X439*Pesos!$B$5)</f>
        <v/>
      </c>
    </row>
    <row r="440">
      <c r="A440" s="2" t="n">
        <v>440</v>
      </c>
      <c r="B440" t="n">
        <v>8</v>
      </c>
      <c r="C440" t="n">
        <v>367</v>
      </c>
      <c r="D440" t="n">
        <v>348</v>
      </c>
      <c r="E440" t="n">
        <v>362</v>
      </c>
      <c r="F440" t="n">
        <v>404</v>
      </c>
      <c r="G440" t="n">
        <v>317</v>
      </c>
      <c r="H440" t="n">
        <v>204</v>
      </c>
      <c r="I440" t="n">
        <v>1012</v>
      </c>
      <c r="J440" t="n">
        <v>2295</v>
      </c>
      <c r="K440" t="n">
        <v>3720</v>
      </c>
      <c r="L440" t="n">
        <v>745</v>
      </c>
      <c r="M440" t="n">
        <v>41</v>
      </c>
      <c r="N440" t="n">
        <v>16</v>
      </c>
      <c r="O440" s="6" t="n">
        <v>9831</v>
      </c>
      <c r="P440">
        <f>SUM(C440:H440)</f>
        <v/>
      </c>
      <c r="Q440">
        <f>I440</f>
        <v/>
      </c>
      <c r="R440">
        <f>J440</f>
        <v/>
      </c>
      <c r="S440">
        <f>SUM(K440:N440)</f>
        <v/>
      </c>
      <c r="T440">
        <f>SUM(P440:S440)</f>
        <v/>
      </c>
      <c r="U440" s="3">
        <f>IF(T440=0,"",P440/T440)</f>
        <v/>
      </c>
      <c r="V440" s="3">
        <f>IF(T440=0,"",Q440/T440)</f>
        <v/>
      </c>
      <c r="W440" s="3">
        <f>IF(T440=0,"",R440/T440)</f>
        <v/>
      </c>
      <c r="X440" s="3">
        <f>IF(T440=0,"",S440/T440)</f>
        <v/>
      </c>
      <c r="Y440" s="4">
        <f>IF(T440=0,"",U440*Pesos!$B$2+V440*Pesos!$B$3+W440*Pesos!$B$4+X440*Pesos!$B$5)</f>
        <v/>
      </c>
    </row>
    <row r="441">
      <c r="A441" s="2" t="n">
        <v>441</v>
      </c>
      <c r="B441" t="n">
        <v>12</v>
      </c>
      <c r="C441" t="n">
        <v>814</v>
      </c>
      <c r="D441" t="n">
        <v>702</v>
      </c>
      <c r="E441" t="n">
        <v>708</v>
      </c>
      <c r="F441" t="n">
        <v>594</v>
      </c>
      <c r="G441" t="n">
        <v>489</v>
      </c>
      <c r="H441" t="n">
        <v>336</v>
      </c>
      <c r="I441" t="n">
        <v>1284</v>
      </c>
      <c r="J441" t="n">
        <v>3439</v>
      </c>
      <c r="K441" t="n">
        <v>4914</v>
      </c>
      <c r="L441" t="n">
        <v>1013</v>
      </c>
      <c r="M441" t="n">
        <v>164</v>
      </c>
      <c r="N441" t="n">
        <v>16</v>
      </c>
      <c r="O441" s="6" t="n">
        <v>14473</v>
      </c>
      <c r="P441">
        <f>SUM(C441:H441)</f>
        <v/>
      </c>
      <c r="Q441">
        <f>I441</f>
        <v/>
      </c>
      <c r="R441">
        <f>J441</f>
        <v/>
      </c>
      <c r="S441">
        <f>SUM(K441:N441)</f>
        <v/>
      </c>
      <c r="T441">
        <f>SUM(P441:S441)</f>
        <v/>
      </c>
      <c r="U441" s="3">
        <f>IF(T441=0,"",P441/T441)</f>
        <v/>
      </c>
      <c r="V441" s="3">
        <f>IF(T441=0,"",Q441/T441)</f>
        <v/>
      </c>
      <c r="W441" s="3">
        <f>IF(T441=0,"",R441/T441)</f>
        <v/>
      </c>
      <c r="X441" s="3">
        <f>IF(T441=0,"",S441/T441)</f>
        <v/>
      </c>
      <c r="Y441" s="4">
        <f>IF(T441=0,"",U441*Pesos!$B$2+V441*Pesos!$B$3+W441*Pesos!$B$4+X441*Pesos!$B$5)</f>
        <v/>
      </c>
    </row>
    <row r="442">
      <c r="A442" s="2" t="n">
        <v>442</v>
      </c>
      <c r="B442" t="n">
        <v>11</v>
      </c>
      <c r="C442" t="n">
        <v>708</v>
      </c>
      <c r="D442" t="n">
        <v>749</v>
      </c>
      <c r="E442" t="n">
        <v>860</v>
      </c>
      <c r="F442" t="n">
        <v>712</v>
      </c>
      <c r="G442" t="n">
        <v>754</v>
      </c>
      <c r="H442" t="n">
        <v>745</v>
      </c>
      <c r="I442" t="n">
        <v>2589</v>
      </c>
      <c r="J442" t="n">
        <v>7076</v>
      </c>
      <c r="K442" t="n">
        <v>4088</v>
      </c>
      <c r="L442" t="n">
        <v>381</v>
      </c>
      <c r="M442" t="n">
        <v>9</v>
      </c>
      <c r="N442" t="n">
        <v>1</v>
      </c>
      <c r="O442" s="6" t="n">
        <v>18672</v>
      </c>
      <c r="P442">
        <f>SUM(C442:H442)</f>
        <v/>
      </c>
      <c r="Q442">
        <f>I442</f>
        <v/>
      </c>
      <c r="R442">
        <f>J442</f>
        <v/>
      </c>
      <c r="S442">
        <f>SUM(K442:N442)</f>
        <v/>
      </c>
      <c r="T442">
        <f>SUM(P442:S442)</f>
        <v/>
      </c>
      <c r="U442" s="3">
        <f>IF(T442=0,"",P442/T442)</f>
        <v/>
      </c>
      <c r="V442" s="3">
        <f>IF(T442=0,"",Q442/T442)</f>
        <v/>
      </c>
      <c r="W442" s="3">
        <f>IF(T442=0,"",R442/T442)</f>
        <v/>
      </c>
      <c r="X442" s="3">
        <f>IF(T442=0,"",S442/T442)</f>
        <v/>
      </c>
      <c r="Y442" s="4">
        <f>IF(T442=0,"",U442*Pesos!$B$2+V442*Pesos!$B$3+W442*Pesos!$B$4+X442*Pesos!$B$5)</f>
        <v/>
      </c>
    </row>
    <row r="443">
      <c r="A443" s="2" t="n">
        <v>443</v>
      </c>
      <c r="B443" t="n">
        <v>7</v>
      </c>
      <c r="C443" t="n">
        <v>698</v>
      </c>
      <c r="D443" t="n">
        <v>797</v>
      </c>
      <c r="E443" t="n">
        <v>967</v>
      </c>
      <c r="F443" t="n">
        <v>1064</v>
      </c>
      <c r="G443" t="n">
        <v>1565</v>
      </c>
      <c r="H443" t="n">
        <v>1133</v>
      </c>
      <c r="I443" t="n">
        <v>3109</v>
      </c>
      <c r="J443" t="n">
        <v>4214</v>
      </c>
      <c r="K443" t="n">
        <v>70</v>
      </c>
      <c r="L443" t="n">
        <v>90</v>
      </c>
      <c r="M443" t="n">
        <v>2</v>
      </c>
      <c r="N443" t="n">
        <v>0</v>
      </c>
      <c r="O443" s="6" t="n">
        <v>13709</v>
      </c>
      <c r="P443">
        <f>SUM(C443:H443)</f>
        <v/>
      </c>
      <c r="Q443">
        <f>I443</f>
        <v/>
      </c>
      <c r="R443">
        <f>J443</f>
        <v/>
      </c>
      <c r="S443">
        <f>SUM(K443:N443)</f>
        <v/>
      </c>
      <c r="T443">
        <f>SUM(P443:S443)</f>
        <v/>
      </c>
      <c r="U443" s="3">
        <f>IF(T443=0,"",P443/T443)</f>
        <v/>
      </c>
      <c r="V443" s="3">
        <f>IF(T443=0,"",Q443/T443)</f>
        <v/>
      </c>
      <c r="W443" s="3">
        <f>IF(T443=0,"",R443/T443)</f>
        <v/>
      </c>
      <c r="X443" s="3">
        <f>IF(T443=0,"",S443/T443)</f>
        <v/>
      </c>
      <c r="Y443" s="4">
        <f>IF(T443=0,"",U443*Pesos!$B$2+V443*Pesos!$B$3+W443*Pesos!$B$4+X443*Pesos!$B$5)</f>
        <v/>
      </c>
    </row>
    <row r="444">
      <c r="A444" s="2" t="n">
        <v>444</v>
      </c>
      <c r="B444" t="n">
        <v>3</v>
      </c>
      <c r="C444" t="n">
        <v>689</v>
      </c>
      <c r="D444" t="n">
        <v>342</v>
      </c>
      <c r="E444" t="n">
        <v>383</v>
      </c>
      <c r="F444" t="n">
        <v>284</v>
      </c>
      <c r="G444" t="n">
        <v>237</v>
      </c>
      <c r="H444" t="n">
        <v>135</v>
      </c>
      <c r="I444" t="n">
        <v>542</v>
      </c>
      <c r="J444" t="n">
        <v>1359</v>
      </c>
      <c r="K444" t="n">
        <v>896</v>
      </c>
      <c r="L444" t="n">
        <v>136</v>
      </c>
      <c r="M444" t="n">
        <v>22</v>
      </c>
      <c r="N444" t="n">
        <v>2</v>
      </c>
      <c r="O444" s="6" t="n">
        <v>5027</v>
      </c>
      <c r="P444">
        <f>SUM(C444:H444)</f>
        <v/>
      </c>
      <c r="Q444">
        <f>I444</f>
        <v/>
      </c>
      <c r="R444">
        <f>J444</f>
        <v/>
      </c>
      <c r="S444">
        <f>SUM(K444:N444)</f>
        <v/>
      </c>
      <c r="T444">
        <f>SUM(P444:S444)</f>
        <v/>
      </c>
      <c r="U444" s="3">
        <f>IF(T444=0,"",P444/T444)</f>
        <v/>
      </c>
      <c r="V444" s="3">
        <f>IF(T444=0,"",Q444/T444)</f>
        <v/>
      </c>
      <c r="W444" s="3">
        <f>IF(T444=0,"",R444/T444)</f>
        <v/>
      </c>
      <c r="X444" s="3">
        <f>IF(T444=0,"",S444/T444)</f>
        <v/>
      </c>
      <c r="Y444" s="4">
        <f>IF(T444=0,"",U444*Pesos!$B$2+V444*Pesos!$B$3+W444*Pesos!$B$4+X444*Pesos!$B$5)</f>
        <v/>
      </c>
    </row>
    <row r="445">
      <c r="A445" s="2" t="n">
        <v>445</v>
      </c>
      <c r="B445" t="n">
        <v>8</v>
      </c>
      <c r="C445" t="n">
        <v>587</v>
      </c>
      <c r="D445" t="n">
        <v>496</v>
      </c>
      <c r="E445" t="n">
        <v>544</v>
      </c>
      <c r="F445" t="n">
        <v>492</v>
      </c>
      <c r="G445" t="n">
        <v>575</v>
      </c>
      <c r="H445" t="n">
        <v>302</v>
      </c>
      <c r="I445" t="n">
        <v>990</v>
      </c>
      <c r="J445" t="n">
        <v>1819</v>
      </c>
      <c r="K445" t="n">
        <v>3568</v>
      </c>
      <c r="L445" t="n">
        <v>721</v>
      </c>
      <c r="M445" t="n">
        <v>71</v>
      </c>
      <c r="N445" t="n">
        <v>0</v>
      </c>
      <c r="O445" s="6" t="n">
        <v>10165</v>
      </c>
      <c r="P445">
        <f>SUM(C445:H445)</f>
        <v/>
      </c>
      <c r="Q445">
        <f>I445</f>
        <v/>
      </c>
      <c r="R445">
        <f>J445</f>
        <v/>
      </c>
      <c r="S445">
        <f>SUM(K445:N445)</f>
        <v/>
      </c>
      <c r="T445">
        <f>SUM(P445:S445)</f>
        <v/>
      </c>
      <c r="U445" s="3">
        <f>IF(T445=0,"",P445/T445)</f>
        <v/>
      </c>
      <c r="V445" s="3">
        <f>IF(T445=0,"",Q445/T445)</f>
        <v/>
      </c>
      <c r="W445" s="3">
        <f>IF(T445=0,"",R445/T445)</f>
        <v/>
      </c>
      <c r="X445" s="3">
        <f>IF(T445=0,"",S445/T445)</f>
        <v/>
      </c>
      <c r="Y445" s="4">
        <f>IF(T445=0,"",U445*Pesos!$B$2+V445*Pesos!$B$3+W445*Pesos!$B$4+X445*Pesos!$B$5)</f>
        <v/>
      </c>
    </row>
    <row r="446">
      <c r="A446" s="2" t="n">
        <v>446</v>
      </c>
      <c r="B446" t="n">
        <v>8</v>
      </c>
      <c r="C446" t="n">
        <v>476</v>
      </c>
      <c r="D446" t="n">
        <v>419</v>
      </c>
      <c r="E446" t="n">
        <v>391</v>
      </c>
      <c r="F446" t="n">
        <v>362</v>
      </c>
      <c r="G446" t="n">
        <v>321</v>
      </c>
      <c r="H446" t="n">
        <v>230</v>
      </c>
      <c r="I446" t="n">
        <v>1512</v>
      </c>
      <c r="J446" t="n">
        <v>2438</v>
      </c>
      <c r="K446" t="n">
        <v>4214</v>
      </c>
      <c r="L446" t="n">
        <v>13</v>
      </c>
      <c r="M446" t="n">
        <v>0</v>
      </c>
      <c r="N446" t="n">
        <v>0</v>
      </c>
      <c r="O446" s="6" t="n">
        <v>10376</v>
      </c>
      <c r="P446">
        <f>SUM(C446:H446)</f>
        <v/>
      </c>
      <c r="Q446">
        <f>I446</f>
        <v/>
      </c>
      <c r="R446">
        <f>J446</f>
        <v/>
      </c>
      <c r="S446">
        <f>SUM(K446:N446)</f>
        <v/>
      </c>
      <c r="T446">
        <f>SUM(P446:S446)</f>
        <v/>
      </c>
      <c r="U446" s="3">
        <f>IF(T446=0,"",P446/T446)</f>
        <v/>
      </c>
      <c r="V446" s="3">
        <f>IF(T446=0,"",Q446/T446)</f>
        <v/>
      </c>
      <c r="W446" s="3">
        <f>IF(T446=0,"",R446/T446)</f>
        <v/>
      </c>
      <c r="X446" s="3">
        <f>IF(T446=0,"",S446/T446)</f>
        <v/>
      </c>
      <c r="Y446" s="4">
        <f>IF(T446=0,"",U446*Pesos!$B$2+V446*Pesos!$B$3+W446*Pesos!$B$4+X446*Pesos!$B$5)</f>
        <v/>
      </c>
    </row>
    <row r="447">
      <c r="A447" s="2" t="n">
        <v>447</v>
      </c>
      <c r="B447" t="n">
        <v>8</v>
      </c>
      <c r="C447" t="n">
        <v>1039</v>
      </c>
      <c r="D447" t="n">
        <v>775</v>
      </c>
      <c r="E447" t="n">
        <v>728</v>
      </c>
      <c r="F447" t="n">
        <v>802</v>
      </c>
      <c r="G447" t="n">
        <v>486</v>
      </c>
      <c r="H447" t="n">
        <v>341</v>
      </c>
      <c r="I447" t="n">
        <v>1124</v>
      </c>
      <c r="J447" t="n">
        <v>2024</v>
      </c>
      <c r="K447" t="n">
        <v>2428</v>
      </c>
      <c r="L447" t="n">
        <v>1065</v>
      </c>
      <c r="M447" t="n">
        <v>215</v>
      </c>
      <c r="N447" t="n">
        <v>53</v>
      </c>
      <c r="O447" s="6" t="n">
        <v>11080</v>
      </c>
      <c r="P447">
        <f>SUM(C447:H447)</f>
        <v/>
      </c>
      <c r="Q447">
        <f>I447</f>
        <v/>
      </c>
      <c r="R447">
        <f>J447</f>
        <v/>
      </c>
      <c r="S447">
        <f>SUM(K447:N447)</f>
        <v/>
      </c>
      <c r="T447">
        <f>SUM(P447:S447)</f>
        <v/>
      </c>
      <c r="U447" s="3">
        <f>IF(T447=0,"",P447/T447)</f>
        <v/>
      </c>
      <c r="V447" s="3">
        <f>IF(T447=0,"",Q447/T447)</f>
        <v/>
      </c>
      <c r="W447" s="3">
        <f>IF(T447=0,"",R447/T447)</f>
        <v/>
      </c>
      <c r="X447" s="3">
        <f>IF(T447=0,"",S447/T447)</f>
        <v/>
      </c>
      <c r="Y447" s="4">
        <f>IF(T447=0,"",U447*Pesos!$B$2+V447*Pesos!$B$3+W447*Pesos!$B$4+X447*Pesos!$B$5)</f>
        <v/>
      </c>
    </row>
    <row r="448">
      <c r="A448" s="2" t="n">
        <v>448</v>
      </c>
      <c r="B448" t="n">
        <v>8</v>
      </c>
      <c r="C448" t="n">
        <v>1169</v>
      </c>
      <c r="D448" t="n">
        <v>1078</v>
      </c>
      <c r="E448" t="n">
        <v>1084</v>
      </c>
      <c r="F448" t="n">
        <v>1068</v>
      </c>
      <c r="G448" t="n">
        <v>1008</v>
      </c>
      <c r="H448" t="n">
        <v>1215</v>
      </c>
      <c r="I448" t="n">
        <v>3464</v>
      </c>
      <c r="J448" t="n">
        <v>3664</v>
      </c>
      <c r="K448" t="n">
        <v>2880</v>
      </c>
      <c r="L448" t="n">
        <v>11</v>
      </c>
      <c r="M448" t="n">
        <v>0</v>
      </c>
      <c r="N448" t="n">
        <v>0</v>
      </c>
      <c r="O448" s="6" t="n">
        <v>16641</v>
      </c>
      <c r="P448">
        <f>SUM(C448:H448)</f>
        <v/>
      </c>
      <c r="Q448">
        <f>I448</f>
        <v/>
      </c>
      <c r="R448">
        <f>J448</f>
        <v/>
      </c>
      <c r="S448">
        <f>SUM(K448:N448)</f>
        <v/>
      </c>
      <c r="T448">
        <f>SUM(P448:S448)</f>
        <v/>
      </c>
      <c r="U448" s="3">
        <f>IF(T448=0,"",P448/T448)</f>
        <v/>
      </c>
      <c r="V448" s="3">
        <f>IF(T448=0,"",Q448/T448)</f>
        <v/>
      </c>
      <c r="W448" s="3">
        <f>IF(T448=0,"",R448/T448)</f>
        <v/>
      </c>
      <c r="X448" s="3">
        <f>IF(T448=0,"",S448/T448)</f>
        <v/>
      </c>
      <c r="Y448" s="4">
        <f>IF(T448=0,"",U448*Pesos!$B$2+V448*Pesos!$B$3+W448*Pesos!$B$4+X448*Pesos!$B$5)</f>
        <v/>
      </c>
    </row>
    <row r="449">
      <c r="A449" s="2" t="n">
        <v>449</v>
      </c>
      <c r="B449" t="n">
        <v>5</v>
      </c>
      <c r="C449" t="n">
        <v>1325</v>
      </c>
      <c r="D449" t="n">
        <v>1095</v>
      </c>
      <c r="E449" t="n">
        <v>1237</v>
      </c>
      <c r="F449" t="n">
        <v>1171</v>
      </c>
      <c r="G449" t="n">
        <v>849</v>
      </c>
      <c r="H449" t="n">
        <v>953</v>
      </c>
      <c r="I449" t="n">
        <v>1216</v>
      </c>
      <c r="J449" t="n">
        <v>731</v>
      </c>
      <c r="K449" t="n">
        <v>1265</v>
      </c>
      <c r="L449" t="n">
        <v>107</v>
      </c>
      <c r="M449" t="n">
        <v>19</v>
      </c>
      <c r="N449" t="n">
        <v>0</v>
      </c>
      <c r="O449" s="6" t="n">
        <v>9968</v>
      </c>
      <c r="P449">
        <f>SUM(C449:H449)</f>
        <v/>
      </c>
      <c r="Q449">
        <f>I449</f>
        <v/>
      </c>
      <c r="R449">
        <f>J449</f>
        <v/>
      </c>
      <c r="S449">
        <f>SUM(K449:N449)</f>
        <v/>
      </c>
      <c r="T449">
        <f>SUM(P449:S449)</f>
        <v/>
      </c>
      <c r="U449" s="3">
        <f>IF(T449=0,"",P449/T449)</f>
        <v/>
      </c>
      <c r="V449" s="3">
        <f>IF(T449=0,"",Q449/T449)</f>
        <v/>
      </c>
      <c r="W449" s="3">
        <f>IF(T449=0,"",R449/T449)</f>
        <v/>
      </c>
      <c r="X449" s="3">
        <f>IF(T449=0,"",S449/T449)</f>
        <v/>
      </c>
      <c r="Y449" s="4">
        <f>IF(T449=0,"",U449*Pesos!$B$2+V449*Pesos!$B$3+W449*Pesos!$B$4+X449*Pesos!$B$5)</f>
        <v/>
      </c>
    </row>
    <row r="450">
      <c r="A450" s="2" t="n">
        <v>450</v>
      </c>
      <c r="B450" t="n">
        <v>10</v>
      </c>
      <c r="C450" t="n">
        <v>1024</v>
      </c>
      <c r="D450" t="n">
        <v>916</v>
      </c>
      <c r="E450" t="n">
        <v>935</v>
      </c>
      <c r="F450" t="n">
        <v>776</v>
      </c>
      <c r="G450" t="n">
        <v>649</v>
      </c>
      <c r="H450" t="n">
        <v>696</v>
      </c>
      <c r="I450" t="n">
        <v>2773</v>
      </c>
      <c r="J450" t="n">
        <v>4298</v>
      </c>
      <c r="K450" t="n">
        <v>4791</v>
      </c>
      <c r="L450" t="n">
        <v>88</v>
      </c>
      <c r="M450" t="n">
        <v>26</v>
      </c>
      <c r="N450" t="n">
        <v>0</v>
      </c>
      <c r="O450" s="6" t="n">
        <v>16972</v>
      </c>
      <c r="P450">
        <f>SUM(C450:H450)</f>
        <v/>
      </c>
      <c r="Q450">
        <f>I450</f>
        <v/>
      </c>
      <c r="R450">
        <f>J450</f>
        <v/>
      </c>
      <c r="S450">
        <f>SUM(K450:N450)</f>
        <v/>
      </c>
      <c r="T450">
        <f>SUM(P450:S450)</f>
        <v/>
      </c>
      <c r="U450" s="3">
        <f>IF(T450=0,"",P450/T450)</f>
        <v/>
      </c>
      <c r="V450" s="3">
        <f>IF(T450=0,"",Q450/T450)</f>
        <v/>
      </c>
      <c r="W450" s="3">
        <f>IF(T450=0,"",R450/T450)</f>
        <v/>
      </c>
      <c r="X450" s="3">
        <f>IF(T450=0,"",S450/T450)</f>
        <v/>
      </c>
      <c r="Y450" s="4">
        <f>IF(T450=0,"",U450*Pesos!$B$2+V450*Pesos!$B$3+W450*Pesos!$B$4+X450*Pesos!$B$5)</f>
        <v/>
      </c>
    </row>
    <row r="451">
      <c r="A451" s="2" t="n">
        <v>451</v>
      </c>
      <c r="B451" t="n">
        <v>6</v>
      </c>
      <c r="C451" t="n">
        <v>1540</v>
      </c>
      <c r="D451" t="n">
        <v>1265</v>
      </c>
      <c r="E451" t="n">
        <v>1067</v>
      </c>
      <c r="F451" t="n">
        <v>781</v>
      </c>
      <c r="G451" t="n">
        <v>674</v>
      </c>
      <c r="H451" t="n">
        <v>716</v>
      </c>
      <c r="I451" t="n">
        <v>1103</v>
      </c>
      <c r="J451" t="n">
        <v>2104</v>
      </c>
      <c r="K451" t="n">
        <v>2288</v>
      </c>
      <c r="L451" t="n">
        <v>181</v>
      </c>
      <c r="M451" t="n">
        <v>13</v>
      </c>
      <c r="N451" t="n">
        <v>0</v>
      </c>
      <c r="O451" s="6" t="n">
        <v>11732</v>
      </c>
      <c r="P451">
        <f>SUM(C451:H451)</f>
        <v/>
      </c>
      <c r="Q451">
        <f>I451</f>
        <v/>
      </c>
      <c r="R451">
        <f>J451</f>
        <v/>
      </c>
      <c r="S451">
        <f>SUM(K451:N451)</f>
        <v/>
      </c>
      <c r="T451">
        <f>SUM(P451:S451)</f>
        <v/>
      </c>
      <c r="U451" s="3">
        <f>IF(T451=0,"",P451/T451)</f>
        <v/>
      </c>
      <c r="V451" s="3">
        <f>IF(T451=0,"",Q451/T451)</f>
        <v/>
      </c>
      <c r="W451" s="3">
        <f>IF(T451=0,"",R451/T451)</f>
        <v/>
      </c>
      <c r="X451" s="3">
        <f>IF(T451=0,"",S451/T451)</f>
        <v/>
      </c>
      <c r="Y451" s="4">
        <f>IF(T451=0,"",U451*Pesos!$B$2+V451*Pesos!$B$3+W451*Pesos!$B$4+X451*Pesos!$B$5)</f>
        <v/>
      </c>
    </row>
    <row r="452">
      <c r="A452" s="2" t="n">
        <v>452</v>
      </c>
      <c r="B452" t="n">
        <v>8</v>
      </c>
      <c r="C452" t="n">
        <v>838</v>
      </c>
      <c r="D452" t="n">
        <v>533</v>
      </c>
      <c r="E452" t="n">
        <v>460</v>
      </c>
      <c r="F452" t="n">
        <v>328</v>
      </c>
      <c r="G452" t="n">
        <v>290</v>
      </c>
      <c r="H452" t="n">
        <v>204</v>
      </c>
      <c r="I452" t="n">
        <v>851</v>
      </c>
      <c r="J452" t="n">
        <v>1670</v>
      </c>
      <c r="K452" t="n">
        <v>5025</v>
      </c>
      <c r="L452" t="n">
        <v>423</v>
      </c>
      <c r="M452" t="n">
        <v>310</v>
      </c>
      <c r="N452" t="n">
        <v>0</v>
      </c>
      <c r="O452" s="6" t="n">
        <v>10932</v>
      </c>
      <c r="P452">
        <f>SUM(C452:H452)</f>
        <v/>
      </c>
      <c r="Q452">
        <f>I452</f>
        <v/>
      </c>
      <c r="R452">
        <f>J452</f>
        <v/>
      </c>
      <c r="S452">
        <f>SUM(K452:N452)</f>
        <v/>
      </c>
      <c r="T452">
        <f>SUM(P452:S452)</f>
        <v/>
      </c>
      <c r="U452" s="3">
        <f>IF(T452=0,"",P452/T452)</f>
        <v/>
      </c>
      <c r="V452" s="3">
        <f>IF(T452=0,"",Q452/T452)</f>
        <v/>
      </c>
      <c r="W452" s="3">
        <f>IF(T452=0,"",R452/T452)</f>
        <v/>
      </c>
      <c r="X452" s="3">
        <f>IF(T452=0,"",S452/T452)</f>
        <v/>
      </c>
      <c r="Y452" s="4">
        <f>IF(T452=0,"",U452*Pesos!$B$2+V452*Pesos!$B$3+W452*Pesos!$B$4+X452*Pesos!$B$5)</f>
        <v/>
      </c>
    </row>
    <row r="453">
      <c r="A453" s="2" t="n">
        <v>453</v>
      </c>
      <c r="B453" t="n">
        <v>3</v>
      </c>
      <c r="C453" t="n">
        <v>1321</v>
      </c>
      <c r="D453" t="n">
        <v>1472</v>
      </c>
      <c r="E453" t="n">
        <v>1177</v>
      </c>
      <c r="F453" t="n">
        <v>929</v>
      </c>
      <c r="G453" t="n">
        <v>246</v>
      </c>
      <c r="H453" t="n">
        <v>169</v>
      </c>
      <c r="I453" t="n">
        <v>965</v>
      </c>
      <c r="J453" t="n">
        <v>470</v>
      </c>
      <c r="K453" t="n">
        <v>308</v>
      </c>
      <c r="L453" t="n">
        <v>104</v>
      </c>
      <c r="M453" t="n">
        <v>7</v>
      </c>
      <c r="N453" t="n">
        <v>1</v>
      </c>
      <c r="O453" s="6" t="n">
        <v>7169</v>
      </c>
      <c r="P453">
        <f>SUM(C453:H453)</f>
        <v/>
      </c>
      <c r="Q453">
        <f>I453</f>
        <v/>
      </c>
      <c r="R453">
        <f>J453</f>
        <v/>
      </c>
      <c r="S453">
        <f>SUM(K453:N453)</f>
        <v/>
      </c>
      <c r="T453">
        <f>SUM(P453:S453)</f>
        <v/>
      </c>
      <c r="U453" s="3">
        <f>IF(T453=0,"",P453/T453)</f>
        <v/>
      </c>
      <c r="V453" s="3">
        <f>IF(T453=0,"",Q453/T453)</f>
        <v/>
      </c>
      <c r="W453" s="3">
        <f>IF(T453=0,"",R453/T453)</f>
        <v/>
      </c>
      <c r="X453" s="3">
        <f>IF(T453=0,"",S453/T453)</f>
        <v/>
      </c>
      <c r="Y453" s="4">
        <f>IF(T453=0,"",U453*Pesos!$B$2+V453*Pesos!$B$3+W453*Pesos!$B$4+X453*Pesos!$B$5)</f>
        <v/>
      </c>
    </row>
    <row r="454">
      <c r="A454" s="2" t="n">
        <v>454</v>
      </c>
      <c r="B454" t="n">
        <v>6</v>
      </c>
      <c r="C454" t="n">
        <v>933</v>
      </c>
      <c r="D454" t="n">
        <v>856</v>
      </c>
      <c r="E454" t="n">
        <v>1077</v>
      </c>
      <c r="F454" t="n">
        <v>1138</v>
      </c>
      <c r="G454" t="n">
        <v>715</v>
      </c>
      <c r="H454" t="n">
        <v>594</v>
      </c>
      <c r="I454" t="n">
        <v>2041</v>
      </c>
      <c r="J454" t="n">
        <v>2105</v>
      </c>
      <c r="K454" t="n">
        <v>1635</v>
      </c>
      <c r="L454" t="n">
        <v>99</v>
      </c>
      <c r="M454" t="n">
        <v>72</v>
      </c>
      <c r="N454" t="n">
        <v>14</v>
      </c>
      <c r="O454" s="6" t="n">
        <v>11279</v>
      </c>
      <c r="P454">
        <f>SUM(C454:H454)</f>
        <v/>
      </c>
      <c r="Q454">
        <f>I454</f>
        <v/>
      </c>
      <c r="R454">
        <f>J454</f>
        <v/>
      </c>
      <c r="S454">
        <f>SUM(K454:N454)</f>
        <v/>
      </c>
      <c r="T454">
        <f>SUM(P454:S454)</f>
        <v/>
      </c>
      <c r="U454" s="3">
        <f>IF(T454=0,"",P454/T454)</f>
        <v/>
      </c>
      <c r="V454" s="3">
        <f>IF(T454=0,"",Q454/T454)</f>
        <v/>
      </c>
      <c r="W454" s="3">
        <f>IF(T454=0,"",R454/T454)</f>
        <v/>
      </c>
      <c r="X454" s="3">
        <f>IF(T454=0,"",S454/T454)</f>
        <v/>
      </c>
      <c r="Y454" s="4">
        <f>IF(T454=0,"",U454*Pesos!$B$2+V454*Pesos!$B$3+W454*Pesos!$B$4+X454*Pesos!$B$5)</f>
        <v/>
      </c>
    </row>
    <row r="455">
      <c r="A455" s="2" t="n">
        <v>455</v>
      </c>
      <c r="B455" t="n">
        <v>6</v>
      </c>
      <c r="C455" t="n">
        <v>844</v>
      </c>
      <c r="D455" t="n">
        <v>1039</v>
      </c>
      <c r="E455" t="n">
        <v>1109</v>
      </c>
      <c r="F455" t="n">
        <v>1161</v>
      </c>
      <c r="G455" t="n">
        <v>698</v>
      </c>
      <c r="H455" t="n">
        <v>546</v>
      </c>
      <c r="I455" t="n">
        <v>1446</v>
      </c>
      <c r="J455" t="n">
        <v>1884</v>
      </c>
      <c r="K455" t="n">
        <v>1465</v>
      </c>
      <c r="L455" t="n">
        <v>81</v>
      </c>
      <c r="M455" t="n">
        <v>43</v>
      </c>
      <c r="N455" t="n">
        <v>14</v>
      </c>
      <c r="O455" s="6" t="n">
        <v>10330</v>
      </c>
      <c r="P455">
        <f>SUM(C455:H455)</f>
        <v/>
      </c>
      <c r="Q455">
        <f>I455</f>
        <v/>
      </c>
      <c r="R455">
        <f>J455</f>
        <v/>
      </c>
      <c r="S455">
        <f>SUM(K455:N455)</f>
        <v/>
      </c>
      <c r="T455">
        <f>SUM(P455:S455)</f>
        <v/>
      </c>
      <c r="U455" s="3">
        <f>IF(T455=0,"",P455/T455)</f>
        <v/>
      </c>
      <c r="V455" s="3">
        <f>IF(T455=0,"",Q455/T455)</f>
        <v/>
      </c>
      <c r="W455" s="3">
        <f>IF(T455=0,"",R455/T455)</f>
        <v/>
      </c>
      <c r="X455" s="3">
        <f>IF(T455=0,"",S455/T455)</f>
        <v/>
      </c>
      <c r="Y455" s="4">
        <f>IF(T455=0,"",U455*Pesos!$B$2+V455*Pesos!$B$3+W455*Pesos!$B$4+X455*Pesos!$B$5)</f>
        <v/>
      </c>
    </row>
    <row r="456">
      <c r="A456" s="2" t="n">
        <v>456</v>
      </c>
      <c r="B456" t="n">
        <v>3</v>
      </c>
      <c r="C456" t="n">
        <v>546</v>
      </c>
      <c r="D456" t="n">
        <v>324</v>
      </c>
      <c r="E456" t="n">
        <v>368</v>
      </c>
      <c r="F456" t="n">
        <v>326</v>
      </c>
      <c r="G456" t="n">
        <v>244</v>
      </c>
      <c r="H456" t="n">
        <v>313</v>
      </c>
      <c r="I456" t="n">
        <v>922</v>
      </c>
      <c r="J456" t="n">
        <v>656</v>
      </c>
      <c r="K456" t="n">
        <v>520</v>
      </c>
      <c r="L456" t="n">
        <v>44</v>
      </c>
      <c r="M456" t="n">
        <v>5</v>
      </c>
      <c r="N456" t="n">
        <v>0</v>
      </c>
      <c r="O456" s="6" t="n">
        <v>4268</v>
      </c>
      <c r="P456">
        <f>SUM(C456:H456)</f>
        <v/>
      </c>
      <c r="Q456">
        <f>I456</f>
        <v/>
      </c>
      <c r="R456">
        <f>J456</f>
        <v/>
      </c>
      <c r="S456">
        <f>SUM(K456:N456)</f>
        <v/>
      </c>
      <c r="T456">
        <f>SUM(P456:S456)</f>
        <v/>
      </c>
      <c r="U456" s="3">
        <f>IF(T456=0,"",P456/T456)</f>
        <v/>
      </c>
      <c r="V456" s="3">
        <f>IF(T456=0,"",Q456/T456)</f>
        <v/>
      </c>
      <c r="W456" s="3">
        <f>IF(T456=0,"",R456/T456)</f>
        <v/>
      </c>
      <c r="X456" s="3">
        <f>IF(T456=0,"",S456/T456)</f>
        <v/>
      </c>
      <c r="Y456" s="4">
        <f>IF(T456=0,"",U456*Pesos!$B$2+V456*Pesos!$B$3+W456*Pesos!$B$4+X456*Pesos!$B$5)</f>
        <v/>
      </c>
    </row>
    <row r="457">
      <c r="A457" s="2" t="n">
        <v>457</v>
      </c>
      <c r="B457" t="n">
        <v>8</v>
      </c>
      <c r="C457" t="n">
        <v>2685</v>
      </c>
      <c r="D457" t="n">
        <v>1914</v>
      </c>
      <c r="E457" t="n">
        <v>2270</v>
      </c>
      <c r="F457" t="n">
        <v>1969</v>
      </c>
      <c r="G457" t="n">
        <v>1583</v>
      </c>
      <c r="H457" t="n">
        <v>1114</v>
      </c>
      <c r="I457" t="n">
        <v>3074</v>
      </c>
      <c r="J457" t="n">
        <v>2686</v>
      </c>
      <c r="K457" t="n">
        <v>580</v>
      </c>
      <c r="L457" t="n">
        <v>53</v>
      </c>
      <c r="M457" t="n">
        <v>105</v>
      </c>
      <c r="N457" t="n">
        <v>0</v>
      </c>
      <c r="O457" s="6" t="n">
        <v>18033</v>
      </c>
      <c r="P457">
        <f>SUM(C457:H457)</f>
        <v/>
      </c>
      <c r="Q457">
        <f>I457</f>
        <v/>
      </c>
      <c r="R457">
        <f>J457</f>
        <v/>
      </c>
      <c r="S457">
        <f>SUM(K457:N457)</f>
        <v/>
      </c>
      <c r="T457">
        <f>SUM(P457:S457)</f>
        <v/>
      </c>
      <c r="U457" s="3">
        <f>IF(T457=0,"",P457/T457)</f>
        <v/>
      </c>
      <c r="V457" s="3">
        <f>IF(T457=0,"",Q457/T457)</f>
        <v/>
      </c>
      <c r="W457" s="3">
        <f>IF(T457=0,"",R457/T457)</f>
        <v/>
      </c>
      <c r="X457" s="3">
        <f>IF(T457=0,"",S457/T457)</f>
        <v/>
      </c>
      <c r="Y457" s="4">
        <f>IF(T457=0,"",U457*Pesos!$B$2+V457*Pesos!$B$3+W457*Pesos!$B$4+X457*Pesos!$B$5)</f>
        <v/>
      </c>
    </row>
    <row r="458">
      <c r="A458" s="2" t="n">
        <v>458</v>
      </c>
      <c r="B458" t="n">
        <v>6</v>
      </c>
      <c r="C458" t="n">
        <v>1282</v>
      </c>
      <c r="D458" t="n">
        <v>1582</v>
      </c>
      <c r="E458" t="n">
        <v>702</v>
      </c>
      <c r="F458" t="n">
        <v>423</v>
      </c>
      <c r="G458" t="n">
        <v>382</v>
      </c>
      <c r="H458" t="n">
        <v>315</v>
      </c>
      <c r="I458" t="n">
        <v>1336</v>
      </c>
      <c r="J458" t="n">
        <v>3110</v>
      </c>
      <c r="K458" t="n">
        <v>945</v>
      </c>
      <c r="L458" t="n">
        <v>279</v>
      </c>
      <c r="M458" t="n">
        <v>22</v>
      </c>
      <c r="N458" t="n">
        <v>4</v>
      </c>
      <c r="O458" s="6" t="n">
        <v>10382</v>
      </c>
      <c r="P458">
        <f>SUM(C458:H458)</f>
        <v/>
      </c>
      <c r="Q458">
        <f>I458</f>
        <v/>
      </c>
      <c r="R458">
        <f>J458</f>
        <v/>
      </c>
      <c r="S458">
        <f>SUM(K458:N458)</f>
        <v/>
      </c>
      <c r="T458">
        <f>SUM(P458:S458)</f>
        <v/>
      </c>
      <c r="U458" s="3">
        <f>IF(T458=0,"",P458/T458)</f>
        <v/>
      </c>
      <c r="V458" s="3">
        <f>IF(T458=0,"",Q458/T458)</f>
        <v/>
      </c>
      <c r="W458" s="3">
        <f>IF(T458=0,"",R458/T458)</f>
        <v/>
      </c>
      <c r="X458" s="3">
        <f>IF(T458=0,"",S458/T458)</f>
        <v/>
      </c>
      <c r="Y458" s="4">
        <f>IF(T458=0,"",U458*Pesos!$B$2+V458*Pesos!$B$3+W458*Pesos!$B$4+X458*Pesos!$B$5)</f>
        <v/>
      </c>
    </row>
    <row r="459">
      <c r="A459" s="2" t="n">
        <v>459</v>
      </c>
      <c r="B459" t="n">
        <v>8</v>
      </c>
      <c r="C459" t="n">
        <v>748</v>
      </c>
      <c r="D459" t="n">
        <v>787</v>
      </c>
      <c r="E459" t="n">
        <v>915</v>
      </c>
      <c r="F459" t="n">
        <v>927</v>
      </c>
      <c r="G459" t="n">
        <v>762</v>
      </c>
      <c r="H459" t="n">
        <v>1190</v>
      </c>
      <c r="I459" t="n">
        <v>3169</v>
      </c>
      <c r="J459" t="n">
        <v>6028</v>
      </c>
      <c r="K459" t="n">
        <v>6</v>
      </c>
      <c r="L459" t="n">
        <v>0</v>
      </c>
      <c r="M459" t="n">
        <v>0</v>
      </c>
      <c r="N459" t="n">
        <v>0</v>
      </c>
      <c r="O459" s="6" t="n">
        <v>14532</v>
      </c>
      <c r="P459">
        <f>SUM(C459:H459)</f>
        <v/>
      </c>
      <c r="Q459">
        <f>I459</f>
        <v/>
      </c>
      <c r="R459">
        <f>J459</f>
        <v/>
      </c>
      <c r="S459">
        <f>SUM(K459:N459)</f>
        <v/>
      </c>
      <c r="T459">
        <f>SUM(P459:S459)</f>
        <v/>
      </c>
      <c r="U459" s="3">
        <f>IF(T459=0,"",P459/T459)</f>
        <v/>
      </c>
      <c r="V459" s="3">
        <f>IF(T459=0,"",Q459/T459)</f>
        <v/>
      </c>
      <c r="W459" s="3">
        <f>IF(T459=0,"",R459/T459)</f>
        <v/>
      </c>
      <c r="X459" s="3">
        <f>IF(T459=0,"",S459/T459)</f>
        <v/>
      </c>
      <c r="Y459" s="4">
        <f>IF(T459=0,"",U459*Pesos!$B$2+V459*Pesos!$B$3+W459*Pesos!$B$4+X459*Pesos!$B$5)</f>
        <v/>
      </c>
    </row>
    <row r="460">
      <c r="A460" s="2" t="n">
        <v>460</v>
      </c>
      <c r="B460" t="n">
        <v>13</v>
      </c>
      <c r="C460" t="n">
        <v>1565</v>
      </c>
      <c r="D460" t="n">
        <v>1465</v>
      </c>
      <c r="E460" t="n">
        <v>1972</v>
      </c>
      <c r="F460" t="n">
        <v>1849</v>
      </c>
      <c r="G460" t="n">
        <v>3066</v>
      </c>
      <c r="H460" t="n">
        <v>1439</v>
      </c>
      <c r="I460" t="n">
        <v>7925</v>
      </c>
      <c r="J460" t="n">
        <v>2974</v>
      </c>
      <c r="K460" t="n">
        <v>81</v>
      </c>
      <c r="L460" t="n">
        <v>4</v>
      </c>
      <c r="M460" t="n">
        <v>0</v>
      </c>
      <c r="N460" t="n">
        <v>0</v>
      </c>
      <c r="O460" s="6" t="n">
        <v>22340</v>
      </c>
      <c r="P460">
        <f>SUM(C460:H460)</f>
        <v/>
      </c>
      <c r="Q460">
        <f>I460</f>
        <v/>
      </c>
      <c r="R460">
        <f>J460</f>
        <v/>
      </c>
      <c r="S460">
        <f>SUM(K460:N460)</f>
        <v/>
      </c>
      <c r="T460">
        <f>SUM(P460:S460)</f>
        <v/>
      </c>
      <c r="U460" s="3">
        <f>IF(T460=0,"",P460/T460)</f>
        <v/>
      </c>
      <c r="V460" s="3">
        <f>IF(T460=0,"",Q460/T460)</f>
        <v/>
      </c>
      <c r="W460" s="3">
        <f>IF(T460=0,"",R460/T460)</f>
        <v/>
      </c>
      <c r="X460" s="3">
        <f>IF(T460=0,"",S460/T460)</f>
        <v/>
      </c>
      <c r="Y460" s="4">
        <f>IF(T460=0,"",U460*Pesos!$B$2+V460*Pesos!$B$3+W460*Pesos!$B$4+X460*Pesos!$B$5)</f>
        <v/>
      </c>
    </row>
    <row r="461">
      <c r="A461" s="2" t="n">
        <v>461</v>
      </c>
      <c r="B461" t="n">
        <v>14</v>
      </c>
      <c r="C461" t="n">
        <v>1174</v>
      </c>
      <c r="D461" t="n">
        <v>1101</v>
      </c>
      <c r="E461" t="n">
        <v>1249</v>
      </c>
      <c r="F461" t="n">
        <v>941</v>
      </c>
      <c r="G461" t="n">
        <v>656</v>
      </c>
      <c r="H461" t="n">
        <v>504</v>
      </c>
      <c r="I461" t="n">
        <v>1477</v>
      </c>
      <c r="J461" t="n">
        <v>2840</v>
      </c>
      <c r="K461" t="n">
        <v>2081</v>
      </c>
      <c r="L461" t="n">
        <v>1204</v>
      </c>
      <c r="M461" t="n">
        <v>1102</v>
      </c>
      <c r="N461" t="n">
        <v>801</v>
      </c>
      <c r="O461" s="6" t="n">
        <v>15130</v>
      </c>
      <c r="P461">
        <f>SUM(C461:H461)</f>
        <v/>
      </c>
      <c r="Q461">
        <f>I461</f>
        <v/>
      </c>
      <c r="R461">
        <f>J461</f>
        <v/>
      </c>
      <c r="S461">
        <f>SUM(K461:N461)</f>
        <v/>
      </c>
      <c r="T461">
        <f>SUM(P461:S461)</f>
        <v/>
      </c>
      <c r="U461" s="3">
        <f>IF(T461=0,"",P461/T461)</f>
        <v/>
      </c>
      <c r="V461" s="3">
        <f>IF(T461=0,"",Q461/T461)</f>
        <v/>
      </c>
      <c r="W461" s="3">
        <f>IF(T461=0,"",R461/T461)</f>
        <v/>
      </c>
      <c r="X461" s="3">
        <f>IF(T461=0,"",S461/T461)</f>
        <v/>
      </c>
      <c r="Y461" s="4">
        <f>IF(T461=0,"",U461*Pesos!$B$2+V461*Pesos!$B$3+W461*Pesos!$B$4+X461*Pesos!$B$5)</f>
        <v/>
      </c>
    </row>
    <row r="462">
      <c r="A462" s="2" t="n">
        <v>462</v>
      </c>
      <c r="B462" t="n">
        <v>5</v>
      </c>
      <c r="C462" t="n">
        <v>655</v>
      </c>
      <c r="D462" t="n">
        <v>651</v>
      </c>
      <c r="E462" t="n">
        <v>481</v>
      </c>
      <c r="F462" t="n">
        <v>369</v>
      </c>
      <c r="G462" t="n">
        <v>299</v>
      </c>
      <c r="H462" t="n">
        <v>223</v>
      </c>
      <c r="I462" t="n">
        <v>691</v>
      </c>
      <c r="J462" t="n">
        <v>898</v>
      </c>
      <c r="K462" t="n">
        <v>669</v>
      </c>
      <c r="L462" t="n">
        <v>403</v>
      </c>
      <c r="M462" t="n">
        <v>446</v>
      </c>
      <c r="N462" t="n">
        <v>282</v>
      </c>
      <c r="O462" s="6" t="n">
        <v>6067</v>
      </c>
      <c r="P462">
        <f>SUM(C462:H462)</f>
        <v/>
      </c>
      <c r="Q462">
        <f>I462</f>
        <v/>
      </c>
      <c r="R462">
        <f>J462</f>
        <v/>
      </c>
      <c r="S462">
        <f>SUM(K462:N462)</f>
        <v/>
      </c>
      <c r="T462">
        <f>SUM(P462:S462)</f>
        <v/>
      </c>
      <c r="U462" s="3">
        <f>IF(T462=0,"",P462/T462)</f>
        <v/>
      </c>
      <c r="V462" s="3">
        <f>IF(T462=0,"",Q462/T462)</f>
        <v/>
      </c>
      <c r="W462" s="3">
        <f>IF(T462=0,"",R462/T462)</f>
        <v/>
      </c>
      <c r="X462" s="3">
        <f>IF(T462=0,"",S462/T462)</f>
        <v/>
      </c>
      <c r="Y462" s="4">
        <f>IF(T462=0,"",U462*Pesos!$B$2+V462*Pesos!$B$3+W462*Pesos!$B$4+X462*Pesos!$B$5)</f>
        <v/>
      </c>
    </row>
    <row r="463">
      <c r="A463" s="2" t="n">
        <v>463</v>
      </c>
      <c r="B463" t="n">
        <v>8</v>
      </c>
      <c r="C463" t="n">
        <v>675</v>
      </c>
      <c r="D463" t="n">
        <v>618</v>
      </c>
      <c r="E463" t="n">
        <v>659</v>
      </c>
      <c r="F463" t="n">
        <v>472</v>
      </c>
      <c r="G463" t="n">
        <v>283</v>
      </c>
      <c r="H463" t="n">
        <v>279</v>
      </c>
      <c r="I463" t="n">
        <v>811</v>
      </c>
      <c r="J463" t="n">
        <v>1266</v>
      </c>
      <c r="K463" t="n">
        <v>1070</v>
      </c>
      <c r="L463" t="n">
        <v>619</v>
      </c>
      <c r="M463" t="n">
        <v>735</v>
      </c>
      <c r="N463" t="n">
        <v>428</v>
      </c>
      <c r="O463" s="6" t="n">
        <v>7915</v>
      </c>
      <c r="P463">
        <f>SUM(C463:H463)</f>
        <v/>
      </c>
      <c r="Q463">
        <f>I463</f>
        <v/>
      </c>
      <c r="R463">
        <f>J463</f>
        <v/>
      </c>
      <c r="S463">
        <f>SUM(K463:N463)</f>
        <v/>
      </c>
      <c r="T463">
        <f>SUM(P463:S463)</f>
        <v/>
      </c>
      <c r="U463" s="3">
        <f>IF(T463=0,"",P463/T463)</f>
        <v/>
      </c>
      <c r="V463" s="3">
        <f>IF(T463=0,"",Q463/T463)</f>
        <v/>
      </c>
      <c r="W463" s="3">
        <f>IF(T463=0,"",R463/T463)</f>
        <v/>
      </c>
      <c r="X463" s="3">
        <f>IF(T463=0,"",S463/T463)</f>
        <v/>
      </c>
      <c r="Y463" s="4">
        <f>IF(T463=0,"",U463*Pesos!$B$2+V463*Pesos!$B$3+W463*Pesos!$B$4+X463*Pesos!$B$5)</f>
        <v/>
      </c>
    </row>
    <row r="464">
      <c r="A464" s="2" t="n">
        <v>464</v>
      </c>
      <c r="B464" t="n">
        <v>13</v>
      </c>
      <c r="C464" t="n">
        <v>1209</v>
      </c>
      <c r="D464" t="n">
        <v>1159</v>
      </c>
      <c r="E464" t="n">
        <v>1122</v>
      </c>
      <c r="F464" t="n">
        <v>937</v>
      </c>
      <c r="G464" t="n">
        <v>644</v>
      </c>
      <c r="H464" t="n">
        <v>621</v>
      </c>
      <c r="I464" t="n">
        <v>1440</v>
      </c>
      <c r="J464" t="n">
        <v>2338</v>
      </c>
      <c r="K464" t="n">
        <v>1817</v>
      </c>
      <c r="L464" t="n">
        <v>1198</v>
      </c>
      <c r="M464" t="n">
        <v>1286</v>
      </c>
      <c r="N464" t="n">
        <v>1035</v>
      </c>
      <c r="O464" s="6" t="n">
        <v>14806</v>
      </c>
      <c r="P464">
        <f>SUM(C464:H464)</f>
        <v/>
      </c>
      <c r="Q464">
        <f>I464</f>
        <v/>
      </c>
      <c r="R464">
        <f>J464</f>
        <v/>
      </c>
      <c r="S464">
        <f>SUM(K464:N464)</f>
        <v/>
      </c>
      <c r="T464">
        <f>SUM(P464:S464)</f>
        <v/>
      </c>
      <c r="U464" s="3">
        <f>IF(T464=0,"",P464/T464)</f>
        <v/>
      </c>
      <c r="V464" s="3">
        <f>IF(T464=0,"",Q464/T464)</f>
        <v/>
      </c>
      <c r="W464" s="3">
        <f>IF(T464=0,"",R464/T464)</f>
        <v/>
      </c>
      <c r="X464" s="3">
        <f>IF(T464=0,"",S464/T464)</f>
        <v/>
      </c>
      <c r="Y464" s="4">
        <f>IF(T464=0,"",U464*Pesos!$B$2+V464*Pesos!$B$3+W464*Pesos!$B$4+X464*Pesos!$B$5)</f>
        <v/>
      </c>
    </row>
    <row r="465">
      <c r="A465" s="2" t="n">
        <v>465</v>
      </c>
      <c r="B465" t="n">
        <v>12</v>
      </c>
      <c r="C465" t="n">
        <v>907</v>
      </c>
      <c r="D465" t="n">
        <v>605</v>
      </c>
      <c r="E465" t="n">
        <v>638</v>
      </c>
      <c r="F465" t="n">
        <v>628</v>
      </c>
      <c r="G465" t="n">
        <v>446</v>
      </c>
      <c r="H465" t="n">
        <v>302</v>
      </c>
      <c r="I465" t="n">
        <v>1058</v>
      </c>
      <c r="J465" t="n">
        <v>1561</v>
      </c>
      <c r="K465" t="n">
        <v>1347</v>
      </c>
      <c r="L465" t="n">
        <v>830</v>
      </c>
      <c r="M465" t="n">
        <v>828</v>
      </c>
      <c r="N465" t="n">
        <v>551</v>
      </c>
      <c r="O465" s="6" t="n">
        <v>9701</v>
      </c>
      <c r="P465">
        <f>SUM(C465:H465)</f>
        <v/>
      </c>
      <c r="Q465">
        <f>I465</f>
        <v/>
      </c>
      <c r="R465">
        <f>J465</f>
        <v/>
      </c>
      <c r="S465">
        <f>SUM(K465:N465)</f>
        <v/>
      </c>
      <c r="T465">
        <f>SUM(P465:S465)</f>
        <v/>
      </c>
      <c r="U465" s="3">
        <f>IF(T465=0,"",P465/T465)</f>
        <v/>
      </c>
      <c r="V465" s="3">
        <f>IF(T465=0,"",Q465/T465)</f>
        <v/>
      </c>
      <c r="W465" s="3">
        <f>IF(T465=0,"",R465/T465)</f>
        <v/>
      </c>
      <c r="X465" s="3">
        <f>IF(T465=0,"",S465/T465)</f>
        <v/>
      </c>
      <c r="Y465" s="4">
        <f>IF(T465=0,"",U465*Pesos!$B$2+V465*Pesos!$B$3+W465*Pesos!$B$4+X465*Pesos!$B$5)</f>
        <v/>
      </c>
    </row>
    <row r="466">
      <c r="A466" s="2" t="n">
        <v>466</v>
      </c>
      <c r="B466" t="n">
        <v>10</v>
      </c>
      <c r="C466" t="n">
        <v>244</v>
      </c>
      <c r="D466" t="n">
        <v>232</v>
      </c>
      <c r="E466" t="n">
        <v>710</v>
      </c>
      <c r="F466" t="n">
        <v>262</v>
      </c>
      <c r="G466" t="n">
        <v>166</v>
      </c>
      <c r="H466" t="n">
        <v>162</v>
      </c>
      <c r="I466" t="n">
        <v>1618</v>
      </c>
      <c r="J466" t="n">
        <v>1470</v>
      </c>
      <c r="K466" t="n">
        <v>4098</v>
      </c>
      <c r="L466" t="n">
        <v>401</v>
      </c>
      <c r="M466" t="n">
        <v>749</v>
      </c>
      <c r="N466" t="n">
        <v>0</v>
      </c>
      <c r="O466" s="6" t="n">
        <v>10112</v>
      </c>
      <c r="P466">
        <f>SUM(C466:H466)</f>
        <v/>
      </c>
      <c r="Q466">
        <f>I466</f>
        <v/>
      </c>
      <c r="R466">
        <f>J466</f>
        <v/>
      </c>
      <c r="S466">
        <f>SUM(K466:N466)</f>
        <v/>
      </c>
      <c r="T466">
        <f>SUM(P466:S466)</f>
        <v/>
      </c>
      <c r="U466" s="3">
        <f>IF(T466=0,"",P466/T466)</f>
        <v/>
      </c>
      <c r="V466" s="3">
        <f>IF(T466=0,"",Q466/T466)</f>
        <v/>
      </c>
      <c r="W466" s="3">
        <f>IF(T466=0,"",R466/T466)</f>
        <v/>
      </c>
      <c r="X466" s="3">
        <f>IF(T466=0,"",S466/T466)</f>
        <v/>
      </c>
      <c r="Y466" s="4">
        <f>IF(T466=0,"",U466*Pesos!$B$2+V466*Pesos!$B$3+W466*Pesos!$B$4+X466*Pesos!$B$5)</f>
        <v/>
      </c>
    </row>
    <row r="467">
      <c r="A467" s="2" t="n">
        <v>467</v>
      </c>
      <c r="B467" t="n">
        <v>10</v>
      </c>
      <c r="C467" t="n">
        <v>318</v>
      </c>
      <c r="D467" t="n">
        <v>260</v>
      </c>
      <c r="E467" t="n">
        <v>308</v>
      </c>
      <c r="F467" t="n">
        <v>599</v>
      </c>
      <c r="G467" t="n">
        <v>194</v>
      </c>
      <c r="H467" t="n">
        <v>230</v>
      </c>
      <c r="I467" t="n">
        <v>987</v>
      </c>
      <c r="J467" t="n">
        <v>1646</v>
      </c>
      <c r="K467" t="n">
        <v>3606</v>
      </c>
      <c r="L467" t="n">
        <v>1522</v>
      </c>
      <c r="M467" t="n">
        <v>1158</v>
      </c>
      <c r="N467" t="n">
        <v>0</v>
      </c>
      <c r="O467" s="6" t="n">
        <v>10828</v>
      </c>
      <c r="P467">
        <f>SUM(C467:H467)</f>
        <v/>
      </c>
      <c r="Q467">
        <f>I467</f>
        <v/>
      </c>
      <c r="R467">
        <f>J467</f>
        <v/>
      </c>
      <c r="S467">
        <f>SUM(K467:N467)</f>
        <v/>
      </c>
      <c r="T467">
        <f>SUM(P467:S467)</f>
        <v/>
      </c>
      <c r="U467" s="3">
        <f>IF(T467=0,"",P467/T467)</f>
        <v/>
      </c>
      <c r="V467" s="3">
        <f>IF(T467=0,"",Q467/T467)</f>
        <v/>
      </c>
      <c r="W467" s="3">
        <f>IF(T467=0,"",R467/T467)</f>
        <v/>
      </c>
      <c r="X467" s="3">
        <f>IF(T467=0,"",S467/T467)</f>
        <v/>
      </c>
      <c r="Y467" s="4">
        <f>IF(T467=0,"",U467*Pesos!$B$2+V467*Pesos!$B$3+W467*Pesos!$B$4+X467*Pesos!$B$5)</f>
        <v/>
      </c>
    </row>
    <row r="468">
      <c r="A468" s="2" t="n">
        <v>468</v>
      </c>
      <c r="B468" t="n">
        <v>6</v>
      </c>
      <c r="C468" t="n">
        <v>442</v>
      </c>
      <c r="D468" t="n">
        <v>511</v>
      </c>
      <c r="E468" t="n">
        <v>673</v>
      </c>
      <c r="F468" t="n">
        <v>378</v>
      </c>
      <c r="G468" t="n">
        <v>325</v>
      </c>
      <c r="H468" t="n">
        <v>450</v>
      </c>
      <c r="I468" t="n">
        <v>1939</v>
      </c>
      <c r="J468" t="n">
        <v>1125</v>
      </c>
      <c r="K468" t="n">
        <v>1341</v>
      </c>
      <c r="L468" t="n">
        <v>1058</v>
      </c>
      <c r="M468" t="n">
        <v>247</v>
      </c>
      <c r="N468" t="n">
        <v>0</v>
      </c>
      <c r="O468" s="6" t="n">
        <v>8489</v>
      </c>
      <c r="P468">
        <f>SUM(C468:H468)</f>
        <v/>
      </c>
      <c r="Q468">
        <f>I468</f>
        <v/>
      </c>
      <c r="R468">
        <f>J468</f>
        <v/>
      </c>
      <c r="S468">
        <f>SUM(K468:N468)</f>
        <v/>
      </c>
      <c r="T468">
        <f>SUM(P468:S468)</f>
        <v/>
      </c>
      <c r="U468" s="3">
        <f>IF(T468=0,"",P468/T468)</f>
        <v/>
      </c>
      <c r="V468" s="3">
        <f>IF(T468=0,"",Q468/T468)</f>
        <v/>
      </c>
      <c r="W468" s="3">
        <f>IF(T468=0,"",R468/T468)</f>
        <v/>
      </c>
      <c r="X468" s="3">
        <f>IF(T468=0,"",S468/T468)</f>
        <v/>
      </c>
      <c r="Y468" s="4">
        <f>IF(T468=0,"",U468*Pesos!$B$2+V468*Pesos!$B$3+W468*Pesos!$B$4+X468*Pesos!$B$5)</f>
        <v/>
      </c>
    </row>
    <row r="469">
      <c r="A469" s="2" t="n">
        <v>469</v>
      </c>
      <c r="B469" t="n">
        <v>10</v>
      </c>
      <c r="C469" t="n">
        <v>559</v>
      </c>
      <c r="D469" t="n">
        <v>435</v>
      </c>
      <c r="E469" t="n">
        <v>403</v>
      </c>
      <c r="F469" t="n">
        <v>390</v>
      </c>
      <c r="G469" t="n">
        <v>242</v>
      </c>
      <c r="H469" t="n">
        <v>291</v>
      </c>
      <c r="I469" t="n">
        <v>792</v>
      </c>
      <c r="J469" t="n">
        <v>5876</v>
      </c>
      <c r="K469" t="n">
        <v>733</v>
      </c>
      <c r="L469" t="n">
        <v>1575</v>
      </c>
      <c r="M469" t="n">
        <v>19</v>
      </c>
      <c r="N469" t="n">
        <v>0</v>
      </c>
      <c r="O469" s="6" t="n">
        <v>11315</v>
      </c>
      <c r="P469">
        <f>SUM(C469:H469)</f>
        <v/>
      </c>
      <c r="Q469">
        <f>I469</f>
        <v/>
      </c>
      <c r="R469">
        <f>J469</f>
        <v/>
      </c>
      <c r="S469">
        <f>SUM(K469:N469)</f>
        <v/>
      </c>
      <c r="T469">
        <f>SUM(P469:S469)</f>
        <v/>
      </c>
      <c r="U469" s="3">
        <f>IF(T469=0,"",P469/T469)</f>
        <v/>
      </c>
      <c r="V469" s="3">
        <f>IF(T469=0,"",Q469/T469)</f>
        <v/>
      </c>
      <c r="W469" s="3">
        <f>IF(T469=0,"",R469/T469)</f>
        <v/>
      </c>
      <c r="X469" s="3">
        <f>IF(T469=0,"",S469/T469)</f>
        <v/>
      </c>
      <c r="Y469" s="4">
        <f>IF(T469=0,"",U469*Pesos!$B$2+V469*Pesos!$B$3+W469*Pesos!$B$4+X469*Pesos!$B$5)</f>
        <v/>
      </c>
    </row>
    <row r="470">
      <c r="A470" s="2" t="n">
        <v>470</v>
      </c>
      <c r="B470" t="n">
        <v>10</v>
      </c>
      <c r="C470" t="n">
        <v>705</v>
      </c>
      <c r="D470" t="n">
        <v>803</v>
      </c>
      <c r="E470" t="n">
        <v>697</v>
      </c>
      <c r="F470" t="n">
        <v>553</v>
      </c>
      <c r="G470" t="n">
        <v>747</v>
      </c>
      <c r="H470" t="n">
        <v>320</v>
      </c>
      <c r="I470" t="n">
        <v>1183</v>
      </c>
      <c r="J470" t="n">
        <v>4314</v>
      </c>
      <c r="K470" t="n">
        <v>637</v>
      </c>
      <c r="L470" t="n">
        <v>1733</v>
      </c>
      <c r="M470" t="n">
        <v>36</v>
      </c>
      <c r="N470" t="n">
        <v>0</v>
      </c>
      <c r="O470" s="6" t="n">
        <v>11728</v>
      </c>
      <c r="P470">
        <f>SUM(C470:H470)</f>
        <v/>
      </c>
      <c r="Q470">
        <f>I470</f>
        <v/>
      </c>
      <c r="R470">
        <f>J470</f>
        <v/>
      </c>
      <c r="S470">
        <f>SUM(K470:N470)</f>
        <v/>
      </c>
      <c r="T470">
        <f>SUM(P470:S470)</f>
        <v/>
      </c>
      <c r="U470" s="3">
        <f>IF(T470=0,"",P470/T470)</f>
        <v/>
      </c>
      <c r="V470" s="3">
        <f>IF(T470=0,"",Q470/T470)</f>
        <v/>
      </c>
      <c r="W470" s="3">
        <f>IF(T470=0,"",R470/T470)</f>
        <v/>
      </c>
      <c r="X470" s="3">
        <f>IF(T470=0,"",S470/T470)</f>
        <v/>
      </c>
      <c r="Y470" s="4">
        <f>IF(T470=0,"",U470*Pesos!$B$2+V470*Pesos!$B$3+W470*Pesos!$B$4+X470*Pesos!$B$5)</f>
        <v/>
      </c>
    </row>
    <row r="471">
      <c r="A471" s="2" t="n">
        <v>471</v>
      </c>
      <c r="B471" t="n">
        <v>10</v>
      </c>
      <c r="C471" t="n">
        <v>389</v>
      </c>
      <c r="D471" t="n">
        <v>404</v>
      </c>
      <c r="E471" t="n">
        <v>441</v>
      </c>
      <c r="F471" t="n">
        <v>327</v>
      </c>
      <c r="G471" t="n">
        <v>289</v>
      </c>
      <c r="H471" t="n">
        <v>308</v>
      </c>
      <c r="I471" t="n">
        <v>897</v>
      </c>
      <c r="J471" t="n">
        <v>5269</v>
      </c>
      <c r="K471" t="n">
        <v>2823</v>
      </c>
      <c r="L471" t="n">
        <v>1345</v>
      </c>
      <c r="M471" t="n">
        <v>275</v>
      </c>
      <c r="N471" t="n">
        <v>2</v>
      </c>
      <c r="O471" s="6" t="n">
        <v>12769</v>
      </c>
      <c r="P471">
        <f>SUM(C471:H471)</f>
        <v/>
      </c>
      <c r="Q471">
        <f>I471</f>
        <v/>
      </c>
      <c r="R471">
        <f>J471</f>
        <v/>
      </c>
      <c r="S471">
        <f>SUM(K471:N471)</f>
        <v/>
      </c>
      <c r="T471">
        <f>SUM(P471:S471)</f>
        <v/>
      </c>
      <c r="U471" s="3">
        <f>IF(T471=0,"",P471/T471)</f>
        <v/>
      </c>
      <c r="V471" s="3">
        <f>IF(T471=0,"",Q471/T471)</f>
        <v/>
      </c>
      <c r="W471" s="3">
        <f>IF(T471=0,"",R471/T471)</f>
        <v/>
      </c>
      <c r="X471" s="3">
        <f>IF(T471=0,"",S471/T471)</f>
        <v/>
      </c>
      <c r="Y471" s="4">
        <f>IF(T471=0,"",U471*Pesos!$B$2+V471*Pesos!$B$3+W471*Pesos!$B$4+X471*Pesos!$B$5)</f>
        <v/>
      </c>
    </row>
    <row r="472">
      <c r="A472" s="2" t="n">
        <v>472</v>
      </c>
      <c r="B472" t="n">
        <v>10</v>
      </c>
      <c r="C472" t="n">
        <v>418</v>
      </c>
      <c r="D472" t="n">
        <v>412</v>
      </c>
      <c r="E472" t="n">
        <v>476</v>
      </c>
      <c r="F472" t="n">
        <v>346</v>
      </c>
      <c r="G472" t="n">
        <v>317</v>
      </c>
      <c r="H472" t="n">
        <v>281</v>
      </c>
      <c r="I472" t="n">
        <v>1045</v>
      </c>
      <c r="J472" t="n">
        <v>3677</v>
      </c>
      <c r="K472" t="n">
        <v>3791</v>
      </c>
      <c r="L472" t="n">
        <v>1344</v>
      </c>
      <c r="M472" t="n">
        <v>464</v>
      </c>
      <c r="N472" t="n">
        <v>0</v>
      </c>
      <c r="O472" s="6" t="n">
        <v>12571</v>
      </c>
      <c r="P472">
        <f>SUM(C472:H472)</f>
        <v/>
      </c>
      <c r="Q472">
        <f>I472</f>
        <v/>
      </c>
      <c r="R472">
        <f>J472</f>
        <v/>
      </c>
      <c r="S472">
        <f>SUM(K472:N472)</f>
        <v/>
      </c>
      <c r="T472">
        <f>SUM(P472:S472)</f>
        <v/>
      </c>
      <c r="U472" s="3">
        <f>IF(T472=0,"",P472/T472)</f>
        <v/>
      </c>
      <c r="V472" s="3">
        <f>IF(T472=0,"",Q472/T472)</f>
        <v/>
      </c>
      <c r="W472" s="3">
        <f>IF(T472=0,"",R472/T472)</f>
        <v/>
      </c>
      <c r="X472" s="3">
        <f>IF(T472=0,"",S472/T472)</f>
        <v/>
      </c>
      <c r="Y472" s="4">
        <f>IF(T472=0,"",U472*Pesos!$B$2+V472*Pesos!$B$3+W472*Pesos!$B$4+X472*Pesos!$B$5)</f>
        <v/>
      </c>
    </row>
    <row r="473">
      <c r="A473" s="2" t="n">
        <v>473</v>
      </c>
      <c r="B473" t="n">
        <v>11</v>
      </c>
      <c r="C473" t="n">
        <v>615</v>
      </c>
      <c r="D473" t="n">
        <v>497</v>
      </c>
      <c r="E473" t="n">
        <v>590</v>
      </c>
      <c r="F473" t="n">
        <v>636</v>
      </c>
      <c r="G473" t="n">
        <v>883</v>
      </c>
      <c r="H473" t="n">
        <v>514</v>
      </c>
      <c r="I473" t="n">
        <v>1688</v>
      </c>
      <c r="J473" t="n">
        <v>2714</v>
      </c>
      <c r="K473" t="n">
        <v>4150</v>
      </c>
      <c r="L473" t="n">
        <v>864</v>
      </c>
      <c r="M473" t="n">
        <v>169</v>
      </c>
      <c r="N473" t="n">
        <v>0</v>
      </c>
      <c r="O473" s="6" t="n">
        <v>13320</v>
      </c>
      <c r="P473">
        <f>SUM(C473:H473)</f>
        <v/>
      </c>
      <c r="Q473">
        <f>I473</f>
        <v/>
      </c>
      <c r="R473">
        <f>J473</f>
        <v/>
      </c>
      <c r="S473">
        <f>SUM(K473:N473)</f>
        <v/>
      </c>
      <c r="T473">
        <f>SUM(P473:S473)</f>
        <v/>
      </c>
      <c r="U473" s="3">
        <f>IF(T473=0,"",P473/T473)</f>
        <v/>
      </c>
      <c r="V473" s="3">
        <f>IF(T473=0,"",Q473/T473)</f>
        <v/>
      </c>
      <c r="W473" s="3">
        <f>IF(T473=0,"",R473/T473)</f>
        <v/>
      </c>
      <c r="X473" s="3">
        <f>IF(T473=0,"",S473/T473)</f>
        <v/>
      </c>
      <c r="Y473" s="4">
        <f>IF(T473=0,"",U473*Pesos!$B$2+V473*Pesos!$B$3+W473*Pesos!$B$4+X473*Pesos!$B$5)</f>
        <v/>
      </c>
    </row>
    <row r="474">
      <c r="A474" s="2" t="n">
        <v>474</v>
      </c>
      <c r="B474" t="n">
        <v>6</v>
      </c>
      <c r="C474" t="n">
        <v>792</v>
      </c>
      <c r="D474" t="n">
        <v>399</v>
      </c>
      <c r="E474" t="n">
        <v>316</v>
      </c>
      <c r="F474" t="n">
        <v>224</v>
      </c>
      <c r="G474" t="n">
        <v>111</v>
      </c>
      <c r="H474" t="n">
        <v>137</v>
      </c>
      <c r="I474" t="n">
        <v>563</v>
      </c>
      <c r="J474" t="n">
        <v>1227</v>
      </c>
      <c r="K474" t="n">
        <v>1321</v>
      </c>
      <c r="L474" t="n">
        <v>1065</v>
      </c>
      <c r="M474" t="n">
        <v>295</v>
      </c>
      <c r="N474" t="n">
        <v>7</v>
      </c>
      <c r="O474" s="6" t="n">
        <v>6457</v>
      </c>
      <c r="P474">
        <f>SUM(C474:H474)</f>
        <v/>
      </c>
      <c r="Q474">
        <f>I474</f>
        <v/>
      </c>
      <c r="R474">
        <f>J474</f>
        <v/>
      </c>
      <c r="S474">
        <f>SUM(K474:N474)</f>
        <v/>
      </c>
      <c r="T474">
        <f>SUM(P474:S474)</f>
        <v/>
      </c>
      <c r="U474" s="3">
        <f>IF(T474=0,"",P474/T474)</f>
        <v/>
      </c>
      <c r="V474" s="3">
        <f>IF(T474=0,"",Q474/T474)</f>
        <v/>
      </c>
      <c r="W474" s="3">
        <f>IF(T474=0,"",R474/T474)</f>
        <v/>
      </c>
      <c r="X474" s="3">
        <f>IF(T474=0,"",S474/T474)</f>
        <v/>
      </c>
      <c r="Y474" s="4">
        <f>IF(T474=0,"",U474*Pesos!$B$2+V474*Pesos!$B$3+W474*Pesos!$B$4+X474*Pesos!$B$5)</f>
        <v/>
      </c>
    </row>
    <row r="475">
      <c r="A475" s="2" t="n">
        <v>475</v>
      </c>
      <c r="B475" t="n">
        <v>9</v>
      </c>
      <c r="C475" t="n">
        <v>526</v>
      </c>
      <c r="D475" t="n">
        <v>680</v>
      </c>
      <c r="E475" t="n">
        <v>637</v>
      </c>
      <c r="F475" t="n">
        <v>504</v>
      </c>
      <c r="G475" t="n">
        <v>540</v>
      </c>
      <c r="H475" t="n">
        <v>287</v>
      </c>
      <c r="I475" t="n">
        <v>1001</v>
      </c>
      <c r="J475" t="n">
        <v>3450</v>
      </c>
      <c r="K475" t="n">
        <v>2726</v>
      </c>
      <c r="L475" t="n">
        <v>1729</v>
      </c>
      <c r="M475" t="n">
        <v>637</v>
      </c>
      <c r="N475" t="n">
        <v>1</v>
      </c>
      <c r="O475" s="6" t="n">
        <v>12718</v>
      </c>
      <c r="P475">
        <f>SUM(C475:H475)</f>
        <v/>
      </c>
      <c r="Q475">
        <f>I475</f>
        <v/>
      </c>
      <c r="R475">
        <f>J475</f>
        <v/>
      </c>
      <c r="S475">
        <f>SUM(K475:N475)</f>
        <v/>
      </c>
      <c r="T475">
        <f>SUM(P475:S475)</f>
        <v/>
      </c>
      <c r="U475" s="3">
        <f>IF(T475=0,"",P475/T475)</f>
        <v/>
      </c>
      <c r="V475" s="3">
        <f>IF(T475=0,"",Q475/T475)</f>
        <v/>
      </c>
      <c r="W475" s="3">
        <f>IF(T475=0,"",R475/T475)</f>
        <v/>
      </c>
      <c r="X475" s="3">
        <f>IF(T475=0,"",S475/T475)</f>
        <v/>
      </c>
      <c r="Y475" s="4">
        <f>IF(T475=0,"",U475*Pesos!$B$2+V475*Pesos!$B$3+W475*Pesos!$B$4+X475*Pesos!$B$5)</f>
        <v/>
      </c>
    </row>
    <row r="476">
      <c r="A476" s="2" t="n">
        <v>476</v>
      </c>
      <c r="B476" t="n">
        <v>10</v>
      </c>
      <c r="C476" t="n">
        <v>589</v>
      </c>
      <c r="D476" t="n">
        <v>705</v>
      </c>
      <c r="E476" t="n">
        <v>649</v>
      </c>
      <c r="F476" t="n">
        <v>492</v>
      </c>
      <c r="G476" t="n">
        <v>320</v>
      </c>
      <c r="H476" t="n">
        <v>301</v>
      </c>
      <c r="I476" t="n">
        <v>1210</v>
      </c>
      <c r="J476" t="n">
        <v>3179</v>
      </c>
      <c r="K476" t="n">
        <v>4669</v>
      </c>
      <c r="L476" t="n">
        <v>1108</v>
      </c>
      <c r="M476" t="n">
        <v>84</v>
      </c>
      <c r="N476" t="n">
        <v>2</v>
      </c>
      <c r="O476" s="6" t="n">
        <v>13308</v>
      </c>
      <c r="P476">
        <f>SUM(C476:H476)</f>
        <v/>
      </c>
      <c r="Q476">
        <f>I476</f>
        <v/>
      </c>
      <c r="R476">
        <f>J476</f>
        <v/>
      </c>
      <c r="S476">
        <f>SUM(K476:N476)</f>
        <v/>
      </c>
      <c r="T476">
        <f>SUM(P476:S476)</f>
        <v/>
      </c>
      <c r="U476" s="3">
        <f>IF(T476=0,"",P476/T476)</f>
        <v/>
      </c>
      <c r="V476" s="3">
        <f>IF(T476=0,"",Q476/T476)</f>
        <v/>
      </c>
      <c r="W476" s="3">
        <f>IF(T476=0,"",R476/T476)</f>
        <v/>
      </c>
      <c r="X476" s="3">
        <f>IF(T476=0,"",S476/T476)</f>
        <v/>
      </c>
      <c r="Y476" s="4">
        <f>IF(T476=0,"",U476*Pesos!$B$2+V476*Pesos!$B$3+W476*Pesos!$B$4+X476*Pesos!$B$5)</f>
        <v/>
      </c>
    </row>
    <row r="477">
      <c r="A477" s="2" t="n">
        <v>477</v>
      </c>
      <c r="B477" t="n">
        <v>9</v>
      </c>
      <c r="C477" t="n">
        <v>896</v>
      </c>
      <c r="D477" t="n">
        <v>572</v>
      </c>
      <c r="E477" t="n">
        <v>586</v>
      </c>
      <c r="F477" t="n">
        <v>458</v>
      </c>
      <c r="G477" t="n">
        <v>395</v>
      </c>
      <c r="H477" t="n">
        <v>265</v>
      </c>
      <c r="I477" t="n">
        <v>961</v>
      </c>
      <c r="J477" t="n">
        <v>1688</v>
      </c>
      <c r="K477" t="n">
        <v>3182</v>
      </c>
      <c r="L477" t="n">
        <v>3225</v>
      </c>
      <c r="M477" t="n">
        <v>9</v>
      </c>
      <c r="N477" t="n">
        <v>0</v>
      </c>
      <c r="O477" s="6" t="n">
        <v>12237</v>
      </c>
      <c r="P477">
        <f>SUM(C477:H477)</f>
        <v/>
      </c>
      <c r="Q477">
        <f>I477</f>
        <v/>
      </c>
      <c r="R477">
        <f>J477</f>
        <v/>
      </c>
      <c r="S477">
        <f>SUM(K477:N477)</f>
        <v/>
      </c>
      <c r="T477">
        <f>SUM(P477:S477)</f>
        <v/>
      </c>
      <c r="U477" s="3">
        <f>IF(T477=0,"",P477/T477)</f>
        <v/>
      </c>
      <c r="V477" s="3">
        <f>IF(T477=0,"",Q477/T477)</f>
        <v/>
      </c>
      <c r="W477" s="3">
        <f>IF(T477=0,"",R477/T477)</f>
        <v/>
      </c>
      <c r="X477" s="3">
        <f>IF(T477=0,"",S477/T477)</f>
        <v/>
      </c>
      <c r="Y477" s="4">
        <f>IF(T477=0,"",U477*Pesos!$B$2+V477*Pesos!$B$3+W477*Pesos!$B$4+X477*Pesos!$B$5)</f>
        <v/>
      </c>
    </row>
    <row r="478">
      <c r="A478" s="2" t="n">
        <v>478</v>
      </c>
      <c r="B478" t="n">
        <v>7</v>
      </c>
      <c r="C478" t="n">
        <v>504</v>
      </c>
      <c r="D478" t="n">
        <v>402</v>
      </c>
      <c r="E478" t="n">
        <v>556</v>
      </c>
      <c r="F478" t="n">
        <v>388</v>
      </c>
      <c r="G478" t="n">
        <v>282</v>
      </c>
      <c r="H478" t="n">
        <v>243</v>
      </c>
      <c r="I478" t="n">
        <v>836</v>
      </c>
      <c r="J478" t="n">
        <v>1623</v>
      </c>
      <c r="K478" t="n">
        <v>4699</v>
      </c>
      <c r="L478" t="n">
        <v>1205</v>
      </c>
      <c r="M478" t="n">
        <v>0</v>
      </c>
      <c r="N478" t="n">
        <v>0</v>
      </c>
      <c r="O478" s="6" t="n">
        <v>10738</v>
      </c>
      <c r="P478">
        <f>SUM(C478:H478)</f>
        <v/>
      </c>
      <c r="Q478">
        <f>I478</f>
        <v/>
      </c>
      <c r="R478">
        <f>J478</f>
        <v/>
      </c>
      <c r="S478">
        <f>SUM(K478:N478)</f>
        <v/>
      </c>
      <c r="T478">
        <f>SUM(P478:S478)</f>
        <v/>
      </c>
      <c r="U478" s="3">
        <f>IF(T478=0,"",P478/T478)</f>
        <v/>
      </c>
      <c r="V478" s="3">
        <f>IF(T478=0,"",Q478/T478)</f>
        <v/>
      </c>
      <c r="W478" s="3">
        <f>IF(T478=0,"",R478/T478)</f>
        <v/>
      </c>
      <c r="X478" s="3">
        <f>IF(T478=0,"",S478/T478)</f>
        <v/>
      </c>
      <c r="Y478" s="4">
        <f>IF(T478=0,"",U478*Pesos!$B$2+V478*Pesos!$B$3+W478*Pesos!$B$4+X478*Pesos!$B$5)</f>
        <v/>
      </c>
    </row>
    <row r="479">
      <c r="A479" s="2" t="n">
        <v>481</v>
      </c>
      <c r="B479" t="n">
        <v>9</v>
      </c>
      <c r="C479" t="n">
        <v>901</v>
      </c>
      <c r="D479" t="n">
        <v>840</v>
      </c>
      <c r="E479" t="n">
        <v>1076</v>
      </c>
      <c r="F479" t="n">
        <v>783</v>
      </c>
      <c r="G479" t="n">
        <v>880</v>
      </c>
      <c r="H479" t="n">
        <v>1230</v>
      </c>
      <c r="I479" t="n">
        <v>2996</v>
      </c>
      <c r="J479" t="n">
        <v>3944</v>
      </c>
      <c r="K479" t="n">
        <v>2168</v>
      </c>
      <c r="L479" t="n">
        <v>50</v>
      </c>
      <c r="M479" t="n">
        <v>0</v>
      </c>
      <c r="N479" t="n">
        <v>0</v>
      </c>
      <c r="O479" s="6" t="n">
        <v>14868</v>
      </c>
      <c r="P479">
        <f>SUM(C479:H479)</f>
        <v/>
      </c>
      <c r="Q479">
        <f>I479</f>
        <v/>
      </c>
      <c r="R479">
        <f>J479</f>
        <v/>
      </c>
      <c r="S479">
        <f>SUM(K479:N479)</f>
        <v/>
      </c>
      <c r="T479">
        <f>SUM(P479:S479)</f>
        <v/>
      </c>
      <c r="U479" s="3">
        <f>IF(T479=0,"",P479/T479)</f>
        <v/>
      </c>
      <c r="V479" s="3">
        <f>IF(T479=0,"",Q479/T479)</f>
        <v/>
      </c>
      <c r="W479" s="3">
        <f>IF(T479=0,"",R479/T479)</f>
        <v/>
      </c>
      <c r="X479" s="3">
        <f>IF(T479=0,"",S479/T479)</f>
        <v/>
      </c>
      <c r="Y479" s="4">
        <f>IF(T479=0,"",U479*Pesos!$B$2+V479*Pesos!$B$3+W479*Pesos!$B$4+X479*Pesos!$B$5)</f>
        <v/>
      </c>
    </row>
    <row r="480">
      <c r="A480" s="2" t="n">
        <v>482</v>
      </c>
      <c r="B480" t="n">
        <v>8</v>
      </c>
      <c r="C480" t="n">
        <v>394</v>
      </c>
      <c r="D480" t="n">
        <v>467</v>
      </c>
      <c r="E480" t="n">
        <v>519</v>
      </c>
      <c r="F480" t="n">
        <v>382</v>
      </c>
      <c r="G480" t="n">
        <v>346</v>
      </c>
      <c r="H480" t="n">
        <v>263</v>
      </c>
      <c r="I480" t="n">
        <v>1181</v>
      </c>
      <c r="J480" t="n">
        <v>3831</v>
      </c>
      <c r="K480" t="n">
        <v>3536</v>
      </c>
      <c r="L480" t="n">
        <v>114</v>
      </c>
      <c r="M480" t="n">
        <v>0</v>
      </c>
      <c r="N480" t="n">
        <v>0</v>
      </c>
      <c r="O480" s="6" t="n">
        <v>11033</v>
      </c>
      <c r="P480">
        <f>SUM(C480:H480)</f>
        <v/>
      </c>
      <c r="Q480">
        <f>I480</f>
        <v/>
      </c>
      <c r="R480">
        <f>J480</f>
        <v/>
      </c>
      <c r="S480">
        <f>SUM(K480:N480)</f>
        <v/>
      </c>
      <c r="T480">
        <f>SUM(P480:S480)</f>
        <v/>
      </c>
      <c r="U480" s="3">
        <f>IF(T480=0,"",P480/T480)</f>
        <v/>
      </c>
      <c r="V480" s="3">
        <f>IF(T480=0,"",Q480/T480)</f>
        <v/>
      </c>
      <c r="W480" s="3">
        <f>IF(T480=0,"",R480/T480)</f>
        <v/>
      </c>
      <c r="X480" s="3">
        <f>IF(T480=0,"",S480/T480)</f>
        <v/>
      </c>
      <c r="Y480" s="4">
        <f>IF(T480=0,"",U480*Pesos!$B$2+V480*Pesos!$B$3+W480*Pesos!$B$4+X480*Pesos!$B$5)</f>
        <v/>
      </c>
    </row>
    <row r="481">
      <c r="A481" s="2" t="n">
        <v>483</v>
      </c>
      <c r="B481" t="n">
        <v>8</v>
      </c>
      <c r="C481" t="n">
        <v>1120</v>
      </c>
      <c r="D481" t="n">
        <v>608</v>
      </c>
      <c r="E481" t="n">
        <v>847</v>
      </c>
      <c r="F481" t="n">
        <v>522</v>
      </c>
      <c r="G481" t="n">
        <v>476</v>
      </c>
      <c r="H481" t="n">
        <v>456</v>
      </c>
      <c r="I481" t="n">
        <v>1120</v>
      </c>
      <c r="J481" t="n">
        <v>2530</v>
      </c>
      <c r="K481" t="n">
        <v>2080</v>
      </c>
      <c r="L481" t="n">
        <v>861</v>
      </c>
      <c r="M481" t="n">
        <v>440</v>
      </c>
      <c r="N481" t="n">
        <v>103</v>
      </c>
      <c r="O481" s="6" t="n">
        <v>11163</v>
      </c>
      <c r="P481">
        <f>SUM(C481:H481)</f>
        <v/>
      </c>
      <c r="Q481">
        <f>I481</f>
        <v/>
      </c>
      <c r="R481">
        <f>J481</f>
        <v/>
      </c>
      <c r="S481">
        <f>SUM(K481:N481)</f>
        <v/>
      </c>
      <c r="T481">
        <f>SUM(P481:S481)</f>
        <v/>
      </c>
      <c r="U481" s="3">
        <f>IF(T481=0,"",P481/T481)</f>
        <v/>
      </c>
      <c r="V481" s="3">
        <f>IF(T481=0,"",Q481/T481)</f>
        <v/>
      </c>
      <c r="W481" s="3">
        <f>IF(T481=0,"",R481/T481)</f>
        <v/>
      </c>
      <c r="X481" s="3">
        <f>IF(T481=0,"",S481/T481)</f>
        <v/>
      </c>
      <c r="Y481" s="4">
        <f>IF(T481=0,"",U481*Pesos!$B$2+V481*Pesos!$B$3+W481*Pesos!$B$4+X481*Pesos!$B$5)</f>
        <v/>
      </c>
    </row>
    <row r="482">
      <c r="A482" s="2" t="n">
        <v>484</v>
      </c>
      <c r="B482" t="n">
        <v>7</v>
      </c>
      <c r="C482" t="n">
        <v>1013</v>
      </c>
      <c r="D482" t="n">
        <v>646</v>
      </c>
      <c r="E482" t="n">
        <v>722</v>
      </c>
      <c r="F482" t="n">
        <v>547</v>
      </c>
      <c r="G482" t="n">
        <v>462</v>
      </c>
      <c r="H482" t="n">
        <v>568</v>
      </c>
      <c r="I482" t="n">
        <v>1706</v>
      </c>
      <c r="J482" t="n">
        <v>2902</v>
      </c>
      <c r="K482" t="n">
        <v>2603</v>
      </c>
      <c r="L482" t="n">
        <v>950</v>
      </c>
      <c r="M482" t="n">
        <v>148</v>
      </c>
      <c r="N482" t="n">
        <v>3</v>
      </c>
      <c r="O482" s="6" t="n">
        <v>12270</v>
      </c>
      <c r="P482">
        <f>SUM(C482:H482)</f>
        <v/>
      </c>
      <c r="Q482">
        <f>I482</f>
        <v/>
      </c>
      <c r="R482">
        <f>J482</f>
        <v/>
      </c>
      <c r="S482">
        <f>SUM(K482:N482)</f>
        <v/>
      </c>
      <c r="T482">
        <f>SUM(P482:S482)</f>
        <v/>
      </c>
      <c r="U482" s="3">
        <f>IF(T482=0,"",P482/T482)</f>
        <v/>
      </c>
      <c r="V482" s="3">
        <f>IF(T482=0,"",Q482/T482)</f>
        <v/>
      </c>
      <c r="W482" s="3">
        <f>IF(T482=0,"",R482/T482)</f>
        <v/>
      </c>
      <c r="X482" s="3">
        <f>IF(T482=0,"",S482/T482)</f>
        <v/>
      </c>
      <c r="Y482" s="4">
        <f>IF(T482=0,"",U482*Pesos!$B$2+V482*Pesos!$B$3+W482*Pesos!$B$4+X482*Pesos!$B$5)</f>
        <v/>
      </c>
    </row>
    <row r="483">
      <c r="A483" s="2" t="n">
        <v>485</v>
      </c>
      <c r="B483" t="n">
        <v>8</v>
      </c>
      <c r="C483" t="n">
        <v>403</v>
      </c>
      <c r="D483" t="n">
        <v>446</v>
      </c>
      <c r="E483" t="n">
        <v>497</v>
      </c>
      <c r="F483" t="n">
        <v>398</v>
      </c>
      <c r="G483" t="n">
        <v>360</v>
      </c>
      <c r="H483" t="n">
        <v>307</v>
      </c>
      <c r="I483" t="n">
        <v>1014</v>
      </c>
      <c r="J483" t="n">
        <v>2141</v>
      </c>
      <c r="K483" t="n">
        <v>1683</v>
      </c>
      <c r="L483" t="n">
        <v>1272</v>
      </c>
      <c r="M483" t="n">
        <v>1560</v>
      </c>
      <c r="N483" t="n">
        <v>0</v>
      </c>
      <c r="O483" s="6" t="n">
        <v>10081</v>
      </c>
      <c r="P483">
        <f>SUM(C483:H483)</f>
        <v/>
      </c>
      <c r="Q483">
        <f>I483</f>
        <v/>
      </c>
      <c r="R483">
        <f>J483</f>
        <v/>
      </c>
      <c r="S483">
        <f>SUM(K483:N483)</f>
        <v/>
      </c>
      <c r="T483">
        <f>SUM(P483:S483)</f>
        <v/>
      </c>
      <c r="U483" s="3">
        <f>IF(T483=0,"",P483/T483)</f>
        <v/>
      </c>
      <c r="V483" s="3">
        <f>IF(T483=0,"",Q483/T483)</f>
        <v/>
      </c>
      <c r="W483" s="3">
        <f>IF(T483=0,"",R483/T483)</f>
        <v/>
      </c>
      <c r="X483" s="3">
        <f>IF(T483=0,"",S483/T483)</f>
        <v/>
      </c>
      <c r="Y483" s="4">
        <f>IF(T483=0,"",U483*Pesos!$B$2+V483*Pesos!$B$3+W483*Pesos!$B$4+X483*Pesos!$B$5)</f>
        <v/>
      </c>
    </row>
    <row r="484">
      <c r="A484" s="2" t="n">
        <v>486</v>
      </c>
      <c r="B484" t="n">
        <v>8</v>
      </c>
      <c r="C484" t="n">
        <v>604</v>
      </c>
      <c r="D484" t="n">
        <v>519</v>
      </c>
      <c r="E484" t="n">
        <v>512</v>
      </c>
      <c r="F484" t="n">
        <v>475</v>
      </c>
      <c r="G484" t="n">
        <v>374</v>
      </c>
      <c r="H484" t="n">
        <v>318</v>
      </c>
      <c r="I484" t="n">
        <v>1209</v>
      </c>
      <c r="J484" t="n">
        <v>2290</v>
      </c>
      <c r="K484" t="n">
        <v>2772</v>
      </c>
      <c r="L484" t="n">
        <v>2033</v>
      </c>
      <c r="M484" t="n">
        <v>247</v>
      </c>
      <c r="N484" t="n">
        <v>162</v>
      </c>
      <c r="O484" s="6" t="n">
        <v>11515</v>
      </c>
      <c r="P484">
        <f>SUM(C484:H484)</f>
        <v/>
      </c>
      <c r="Q484">
        <f>I484</f>
        <v/>
      </c>
      <c r="R484">
        <f>J484</f>
        <v/>
      </c>
      <c r="S484">
        <f>SUM(K484:N484)</f>
        <v/>
      </c>
      <c r="T484">
        <f>SUM(P484:S484)</f>
        <v/>
      </c>
      <c r="U484" s="3">
        <f>IF(T484=0,"",P484/T484)</f>
        <v/>
      </c>
      <c r="V484" s="3">
        <f>IF(T484=0,"",Q484/T484)</f>
        <v/>
      </c>
      <c r="W484" s="3">
        <f>IF(T484=0,"",R484/T484)</f>
        <v/>
      </c>
      <c r="X484" s="3">
        <f>IF(T484=0,"",S484/T484)</f>
        <v/>
      </c>
      <c r="Y484" s="4">
        <f>IF(T484=0,"",U484*Pesos!$B$2+V484*Pesos!$B$3+W484*Pesos!$B$4+X484*Pesos!$B$5)</f>
        <v/>
      </c>
    </row>
    <row r="485">
      <c r="A485" s="2" t="n">
        <v>487</v>
      </c>
      <c r="B485" t="n">
        <v>14</v>
      </c>
      <c r="C485" t="n">
        <v>1059</v>
      </c>
      <c r="D485" t="n">
        <v>1033</v>
      </c>
      <c r="E485" t="n">
        <v>1146</v>
      </c>
      <c r="F485" t="n">
        <v>929</v>
      </c>
      <c r="G485" t="n">
        <v>878</v>
      </c>
      <c r="H485" t="n">
        <v>559</v>
      </c>
      <c r="I485" t="n">
        <v>2010</v>
      </c>
      <c r="J485" t="n">
        <v>4337</v>
      </c>
      <c r="K485" t="n">
        <v>4603</v>
      </c>
      <c r="L485" t="n">
        <v>2433</v>
      </c>
      <c r="M485" t="n">
        <v>754</v>
      </c>
      <c r="N485" t="n">
        <v>62</v>
      </c>
      <c r="O485" s="6" t="n">
        <v>19803</v>
      </c>
      <c r="P485">
        <f>SUM(C485:H485)</f>
        <v/>
      </c>
      <c r="Q485">
        <f>I485</f>
        <v/>
      </c>
      <c r="R485">
        <f>J485</f>
        <v/>
      </c>
      <c r="S485">
        <f>SUM(K485:N485)</f>
        <v/>
      </c>
      <c r="T485">
        <f>SUM(P485:S485)</f>
        <v/>
      </c>
      <c r="U485" s="3">
        <f>IF(T485=0,"",P485/T485)</f>
        <v/>
      </c>
      <c r="V485" s="3">
        <f>IF(T485=0,"",Q485/T485)</f>
        <v/>
      </c>
      <c r="W485" s="3">
        <f>IF(T485=0,"",R485/T485)</f>
        <v/>
      </c>
      <c r="X485" s="3">
        <f>IF(T485=0,"",S485/T485)</f>
        <v/>
      </c>
      <c r="Y485" s="4">
        <f>IF(T485=0,"",U485*Pesos!$B$2+V485*Pesos!$B$3+W485*Pesos!$B$4+X485*Pesos!$B$5)</f>
        <v/>
      </c>
    </row>
    <row r="486">
      <c r="A486" s="2" t="n">
        <v>488</v>
      </c>
      <c r="B486" t="n">
        <v>8</v>
      </c>
      <c r="C486" t="n">
        <v>578</v>
      </c>
      <c r="D486" t="n">
        <v>476</v>
      </c>
      <c r="E486" t="n">
        <v>556</v>
      </c>
      <c r="F486" t="n">
        <v>573</v>
      </c>
      <c r="G486" t="n">
        <v>403</v>
      </c>
      <c r="H486" t="n">
        <v>408</v>
      </c>
      <c r="I486" t="n">
        <v>1132</v>
      </c>
      <c r="J486" t="n">
        <v>2053</v>
      </c>
      <c r="K486" t="n">
        <v>2080</v>
      </c>
      <c r="L486" t="n">
        <v>1803</v>
      </c>
      <c r="M486" t="n">
        <v>474</v>
      </c>
      <c r="N486" t="n">
        <v>4</v>
      </c>
      <c r="O486" s="6" t="n">
        <v>10540</v>
      </c>
      <c r="P486">
        <f>SUM(C486:H486)</f>
        <v/>
      </c>
      <c r="Q486">
        <f>I486</f>
        <v/>
      </c>
      <c r="R486">
        <f>J486</f>
        <v/>
      </c>
      <c r="S486">
        <f>SUM(K486:N486)</f>
        <v/>
      </c>
      <c r="T486">
        <f>SUM(P486:S486)</f>
        <v/>
      </c>
      <c r="U486" s="3">
        <f>IF(T486=0,"",P486/T486)</f>
        <v/>
      </c>
      <c r="V486" s="3">
        <f>IF(T486=0,"",Q486/T486)</f>
        <v/>
      </c>
      <c r="W486" s="3">
        <f>IF(T486=0,"",R486/T486)</f>
        <v/>
      </c>
      <c r="X486" s="3">
        <f>IF(T486=0,"",S486/T486)</f>
        <v/>
      </c>
      <c r="Y486" s="4">
        <f>IF(T486=0,"",U486*Pesos!$B$2+V486*Pesos!$B$3+W486*Pesos!$B$4+X486*Pesos!$B$5)</f>
        <v/>
      </c>
    </row>
    <row r="487">
      <c r="A487" s="2" t="n">
        <v>489</v>
      </c>
      <c r="B487" t="n">
        <v>8</v>
      </c>
      <c r="C487" t="n">
        <v>249</v>
      </c>
      <c r="D487" t="n">
        <v>246</v>
      </c>
      <c r="E487" t="n">
        <v>294</v>
      </c>
      <c r="F487" t="n">
        <v>250</v>
      </c>
      <c r="G487" t="n">
        <v>326</v>
      </c>
      <c r="H487" t="n">
        <v>202</v>
      </c>
      <c r="I487" t="n">
        <v>1119</v>
      </c>
      <c r="J487" t="n">
        <v>2893</v>
      </c>
      <c r="K487" t="n">
        <v>773</v>
      </c>
      <c r="L487" t="n">
        <v>981</v>
      </c>
      <c r="M487" t="n">
        <v>1152</v>
      </c>
      <c r="N487" t="n">
        <v>0</v>
      </c>
      <c r="O487" s="6" t="n">
        <v>8485</v>
      </c>
      <c r="P487">
        <f>SUM(C487:H487)</f>
        <v/>
      </c>
      <c r="Q487">
        <f>I487</f>
        <v/>
      </c>
      <c r="R487">
        <f>J487</f>
        <v/>
      </c>
      <c r="S487">
        <f>SUM(K487:N487)</f>
        <v/>
      </c>
      <c r="T487">
        <f>SUM(P487:S487)</f>
        <v/>
      </c>
      <c r="U487" s="3">
        <f>IF(T487=0,"",P487/T487)</f>
        <v/>
      </c>
      <c r="V487" s="3">
        <f>IF(T487=0,"",Q487/T487)</f>
        <v/>
      </c>
      <c r="W487" s="3">
        <f>IF(T487=0,"",R487/T487)</f>
        <v/>
      </c>
      <c r="X487" s="3">
        <f>IF(T487=0,"",S487/T487)</f>
        <v/>
      </c>
      <c r="Y487" s="4">
        <f>IF(T487=0,"",U487*Pesos!$B$2+V487*Pesos!$B$3+W487*Pesos!$B$4+X487*Pesos!$B$5)</f>
        <v/>
      </c>
    </row>
    <row r="488">
      <c r="A488" s="2" t="n">
        <v>490</v>
      </c>
      <c r="B488" t="n">
        <v>7</v>
      </c>
      <c r="C488" t="n">
        <v>402</v>
      </c>
      <c r="D488" t="n">
        <v>438</v>
      </c>
      <c r="E488" t="n">
        <v>394</v>
      </c>
      <c r="F488" t="n">
        <v>297</v>
      </c>
      <c r="G488" t="n">
        <v>377</v>
      </c>
      <c r="H488" t="n">
        <v>257</v>
      </c>
      <c r="I488" t="n">
        <v>782</v>
      </c>
      <c r="J488" t="n">
        <v>1562</v>
      </c>
      <c r="K488" t="n">
        <v>2067</v>
      </c>
      <c r="L488" t="n">
        <v>850</v>
      </c>
      <c r="M488" t="n">
        <v>1114</v>
      </c>
      <c r="N488" t="n">
        <v>61</v>
      </c>
      <c r="O488" s="6" t="n">
        <v>8601</v>
      </c>
      <c r="P488">
        <f>SUM(C488:H488)</f>
        <v/>
      </c>
      <c r="Q488">
        <f>I488</f>
        <v/>
      </c>
      <c r="R488">
        <f>J488</f>
        <v/>
      </c>
      <c r="S488">
        <f>SUM(K488:N488)</f>
        <v/>
      </c>
      <c r="T488">
        <f>SUM(P488:S488)</f>
        <v/>
      </c>
      <c r="U488" s="3">
        <f>IF(T488=0,"",P488/T488)</f>
        <v/>
      </c>
      <c r="V488" s="3">
        <f>IF(T488=0,"",Q488/T488)</f>
        <v/>
      </c>
      <c r="W488" s="3">
        <f>IF(T488=0,"",R488/T488)</f>
        <v/>
      </c>
      <c r="X488" s="3">
        <f>IF(T488=0,"",S488/T488)</f>
        <v/>
      </c>
      <c r="Y488" s="4">
        <f>IF(T488=0,"",U488*Pesos!$B$2+V488*Pesos!$B$3+W488*Pesos!$B$4+X488*Pesos!$B$5)</f>
        <v/>
      </c>
    </row>
    <row r="489">
      <c r="A489" s="2" t="n">
        <v>500</v>
      </c>
      <c r="B489" t="n">
        <v>7</v>
      </c>
      <c r="C489" t="n">
        <v>736</v>
      </c>
      <c r="D489" t="n">
        <v>704</v>
      </c>
      <c r="E489" t="n">
        <v>901</v>
      </c>
      <c r="F489" t="n">
        <v>656</v>
      </c>
      <c r="G489" t="n">
        <v>614</v>
      </c>
      <c r="H489" t="n">
        <v>517</v>
      </c>
      <c r="I489" t="n">
        <v>2765</v>
      </c>
      <c r="J489" t="n">
        <v>3429</v>
      </c>
      <c r="K489" t="n">
        <v>1620</v>
      </c>
      <c r="L489" t="n">
        <v>469</v>
      </c>
      <c r="M489" t="n">
        <v>111</v>
      </c>
      <c r="N489" t="n">
        <v>19</v>
      </c>
      <c r="O489" s="6" t="n">
        <v>12541</v>
      </c>
      <c r="P489">
        <f>SUM(C489:H489)</f>
        <v/>
      </c>
      <c r="Q489">
        <f>I489</f>
        <v/>
      </c>
      <c r="R489">
        <f>J489</f>
        <v/>
      </c>
      <c r="S489">
        <f>SUM(K489:N489)</f>
        <v/>
      </c>
      <c r="T489">
        <f>SUM(P489:S489)</f>
        <v/>
      </c>
      <c r="U489" s="3">
        <f>IF(T489=0,"",P489/T489)</f>
        <v/>
      </c>
      <c r="V489" s="3">
        <f>IF(T489=0,"",Q489/T489)</f>
        <v/>
      </c>
      <c r="W489" s="3">
        <f>IF(T489=0,"",R489/T489)</f>
        <v/>
      </c>
      <c r="X489" s="3">
        <f>IF(T489=0,"",S489/T489)</f>
        <v/>
      </c>
      <c r="Y489" s="4">
        <f>IF(T489=0,"",U489*Pesos!$B$2+V489*Pesos!$B$3+W489*Pesos!$B$4+X489*Pesos!$B$5)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00" customWidth="1" min="1" max="1"/>
  </cols>
  <sheetData>
    <row r="1">
      <c r="A1" s="8" t="inlineStr">
        <is>
          <t>Arraigo por VUPACI, censos 2001 y 2011 — todas las cuentas en fórmulas</t>
        </is>
      </c>
    </row>
    <row r="2">
      <c r="A2" s="9" t="inlineStr"/>
    </row>
    <row r="3">
      <c r="A3" s="9" t="inlineStr">
        <is>
          <t>Cada censo se agrega con SU PROPIO seccionado: el lado 2001 del archivo «Seccionado VUPACI 2001 y 2011.xlsx» asigna VUPACI a las 3.906 secciones de 2001, y el lado 2011 a las 4.271 de 2011. No se reutiliza ningún código de un año en el otro.</t>
        </is>
      </c>
    </row>
    <row r="4">
      <c r="A4" s="9" t="inlineStr"/>
    </row>
    <row r="5">
      <c r="A5" s="8" t="inlineStr">
        <is>
          <t>Los cuatro tramos son los mismos en ambos censos, definidos por posición relativa a la fecha del censo:</t>
        </is>
      </c>
    </row>
    <row r="6">
      <c r="A6" s="9" t="inlineStr">
        <is>
          <t xml:space="preserve">          2011                    2001                 peso</t>
        </is>
      </c>
    </row>
    <row r="7">
      <c r="A7" s="9" t="inlineStr">
        <is>
          <t xml:space="preserve">     a    2006-2011 (6 años)      1996-2001 (6 años)     0</t>
        </is>
      </c>
    </row>
    <row r="8">
      <c r="A8" s="9" t="inlineStr">
        <is>
          <t xml:space="preserve">     b    2001-2005 (5 años)      1991-1995 (5 años)     0,33</t>
        </is>
      </c>
    </row>
    <row r="9">
      <c r="A9" s="9" t="inlineStr">
        <is>
          <t xml:space="preserve">     c    1991-2000 (10 años)     1981-1990 (10 años)    0,66</t>
        </is>
      </c>
    </row>
    <row r="10">
      <c r="A10" s="9" t="inlineStr">
        <is>
          <t xml:space="preserve">     d    antes de 1991           antes de 1981          1</t>
        </is>
      </c>
    </row>
    <row r="11">
      <c r="A11" s="9" t="inlineStr"/>
    </row>
    <row r="12">
      <c r="A12" s="8" t="inlineStr">
        <is>
          <t>índice = p_a·peso_a + p_b·peso_b + p_c·peso_c + p_d·peso_d</t>
        </is>
      </c>
    </row>
    <row r="13">
      <c r="A13" s="9" t="inlineStr">
        <is>
          <t>donde p_X es la proporción del tramo sobre la suma de los cuatro.</t>
        </is>
      </c>
    </row>
    <row r="14">
      <c r="A14" s="9" t="inlineStr"/>
    </row>
    <row r="15">
      <c r="A15" s="8" t="inlineStr">
        <is>
          <t>Va en decimales de 0 a 1, no en porcentaje: 0 = todos llegaron en los últimos seis años; 1 = todos llevan más de veinte.</t>
        </is>
      </c>
    </row>
    <row r="16">
      <c r="A16" s="9" t="inlineStr"/>
    </row>
    <row r="17">
      <c r="A17" s="9" t="inlineStr">
        <is>
          <t>Los pesos están en la hoja Pesos. Cambiarlos recalcula los dos censos y la comparación.</t>
        </is>
      </c>
    </row>
    <row r="18">
      <c r="A18" s="9" t="inlineStr"/>
    </row>
    <row r="19">
      <c r="A19" s="9" t="inlineStr">
        <is>
          <t>La columna «Total» en gris es la que publica el INE. El denominador del índice es la suma de los cuatro tramos, no esa: en 2011 difieren hasta en 15 personas por el redondeo a múltiplos de 5, y así las proporciones cierran en 1 exacto. En 2001 no hay redondeo y coinciden.</t>
        </is>
      </c>
    </row>
    <row r="20">
      <c r="A20" s="9" t="inlineStr"/>
    </row>
    <row r="21">
      <c r="A21" s="9" t="inlineStr">
        <is>
          <t>En ámbar, las cifras que el INE marca con asterisco en 2011 (por debajo del umbral de fiabilidad de la muestra). Desaparecen al agregar los tramos, que es lo que pedía el correo.</t>
        </is>
      </c>
    </row>
    <row r="22">
      <c r="A22" s="9" t="inlineStr"/>
    </row>
    <row r="23">
      <c r="A23" s="9" t="inlineStr">
        <is>
          <t>La VUPACI 375 no tiene secciones en 2001: no existía como territorio poblado. Su fila de comparación queda vacía.</t>
        </is>
      </c>
    </row>
    <row r="24">
      <c r="A24" s="9" t="inlineStr"/>
    </row>
    <row r="25">
      <c r="A25" s="9" t="inlineStr">
        <is>
          <t>Dos diferencias entre censos que conviene citar: el colectivo se llama «residentes en viviendas principales» en 2011 y «residentes en viviendas familiares» en 2001; y 2001 son recuentos exactos mientras 2011 viene redondeado.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2026-10-02T18:42:38Z</dcterms:created>
  <dcterms:modified xmlns:dcterms="http://purl.org/dc/terms/" xmlns:xsi="http://www.w3.org/2001/XMLSchema-instance" xsi:type="dcterms:W3CDTF">2026-10-02T18:42:38Z</dcterms:modified>
</cp:coreProperties>
</file>